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ooqing.SUN\Downloads\"/>
    </mc:Choice>
  </mc:AlternateContent>
  <bookViews>
    <workbookView xWindow="0" yWindow="0" windowWidth="23040" windowHeight="8808"/>
  </bookViews>
  <sheets>
    <sheet name="1) SWMAL" sheetId="1" r:id="rId1"/>
  </sheets>
  <definedNames>
    <definedName name="_xlnm._FilterDatabase" localSheetId="0" hidden="1">'1) SWMAL'!$A$1:$I$416</definedName>
  </definedNames>
  <calcPr calcId="152511"/>
</workbook>
</file>

<file path=xl/calcChain.xml><?xml version="1.0" encoding="utf-8"?>
<calcChain xmlns="http://schemas.openxmlformats.org/spreadsheetml/2006/main">
  <c r="J416" i="1" l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<sst xmlns="http://schemas.openxmlformats.org/spreadsheetml/2006/main" count="2959" uniqueCount="915">
  <si>
    <r>
      <rPr>
        <b/>
        <sz val="11"/>
        <rFont val="Calibri"/>
      </rPr>
      <t>File Name</t>
    </r>
  </si>
  <si>
    <r>
      <rPr>
        <b/>
        <sz val="11"/>
        <rFont val="Calibri"/>
      </rPr>
      <t>Profile Type Name</t>
    </r>
  </si>
  <si>
    <r>
      <rPr>
        <b/>
        <sz val="11"/>
        <rFont val="Calibri"/>
      </rPr>
      <t>Profile No</t>
    </r>
  </si>
  <si>
    <r>
      <rPr>
        <b/>
        <sz val="11"/>
        <rFont val="Calibri"/>
      </rPr>
      <t>Size(KB)</t>
    </r>
  </si>
  <si>
    <r>
      <rPr>
        <b/>
        <sz val="11"/>
        <rFont val="Calibri"/>
      </rPr>
      <t>Description</t>
    </r>
  </si>
  <si>
    <r>
      <rPr>
        <b/>
        <sz val="11"/>
        <rFont val="Calibri"/>
      </rPr>
      <t>Expiry Date</t>
    </r>
  </si>
  <si>
    <r>
      <rPr>
        <b/>
        <sz val="11"/>
        <rFont val="Calibri"/>
      </rPr>
      <t>Modify By</t>
    </r>
  </si>
  <si>
    <r>
      <rPr>
        <b/>
        <sz val="11"/>
        <rFont val="Calibri"/>
      </rPr>
      <t>Modify Date</t>
    </r>
  </si>
  <si>
    <t>CC23021 Review SOP SWMYQCD0027 Quality Control Routine Dissolution Profile Monitoring.pdf</t>
  </si>
  <si>
    <t>SWMAL</t>
  </si>
  <si>
    <t>CC/23/021</t>
  </si>
  <si>
    <t/>
  </si>
  <si>
    <t>Siti NorhanisahBinti A.Rahim</t>
  </si>
  <si>
    <t>23-Aug-2023 05:31 PM</t>
  </si>
  <si>
    <t>CC23022 Review SOP SWMYQCD0132 Verification Procedure For UV-Visible Spectrophotometer.pdf</t>
  </si>
  <si>
    <t>CC/23/022</t>
  </si>
  <si>
    <t>CC23023 Review SOP SWMYQCD0204 SOP For Water Bath GPD.pdf</t>
  </si>
  <si>
    <t>CC/23/023</t>
  </si>
  <si>
    <t>23-Aug-2023 05:35 PM</t>
  </si>
  <si>
    <t>CC23024 Review SOP SWMYQCD0209 SOP For Emergency Eyewash, Shower Station and Fire Blanker.pdf</t>
  </si>
  <si>
    <t>CC/23/024</t>
  </si>
  <si>
    <t>CC23025 Review SOP SWMYQCD0104 SOP For Brookfield DV -II + Pro Programmable Viscometer v07.pdf</t>
  </si>
  <si>
    <t>CC/23/025</t>
  </si>
  <si>
    <t>CC23026 Review SOP SWMYQCD0105 SOP For Electronic Digital Caliper v07.pdf</t>
  </si>
  <si>
    <t>CC/23/026</t>
  </si>
  <si>
    <t>CC23027 Review SOP SWMYQCD0147 SOP For Handling and Performance Check for HPLC Column.pdf</t>
  </si>
  <si>
    <t>CC/23/027</t>
  </si>
  <si>
    <t>CC23028 Review SOP SWMYPRD0108 Operation in Buffer Zone.pdf</t>
  </si>
  <si>
    <t>CC/23/028</t>
  </si>
  <si>
    <t>23-Aug-2023 05:36 PM</t>
  </si>
  <si>
    <t>CC23029 Review SOP SWMYQAD0020 V04 SOP for Document Control v04.pdf</t>
  </si>
  <si>
    <t>CC/23/029</t>
  </si>
  <si>
    <t>CC23030 Review SOP SWMYQCD0039 In-Process Quality Control of Oral Solution.pdf</t>
  </si>
  <si>
    <t>CC/23/030</t>
  </si>
  <si>
    <t>CC23031 Review SOP SWMYQCD0045 In-process Quality Control of Packing.pdf</t>
  </si>
  <si>
    <t>CC/23/031</t>
  </si>
  <si>
    <t>CC23032 Review SOP SWMYPRD0111 Operation in Bottle Transfer Room.pdf</t>
  </si>
  <si>
    <t>CC/23/032</t>
  </si>
  <si>
    <t>CC23033 Review SOP SWMYPRD0005 Personal Hygiene.pdf</t>
  </si>
  <si>
    <t>CC/23/033</t>
  </si>
  <si>
    <t>CC23034 Review SOP SWMYPRD0026 Operation of Lift.pdf</t>
  </si>
  <si>
    <t>CC/23/034</t>
  </si>
  <si>
    <t>23-Aug-2023 05:37 PM</t>
  </si>
  <si>
    <t>CC23035 Review SOP SWMYPRD0103 Procedure for repacking of tablets and capsules.pdf</t>
  </si>
  <si>
    <t>CC/23/035</t>
  </si>
  <si>
    <t>CC23036 Review SOP SWMYPRD0008 V03 Gowning Procedure in Clean Area and Secondary Packaging Area.pdf</t>
  </si>
  <si>
    <t>CC/23/036</t>
  </si>
  <si>
    <t>CC23037 Review SOP SWMYPRD0104 Lag Time For Intermediate Products.pdf</t>
  </si>
  <si>
    <t>CC/23/037</t>
  </si>
  <si>
    <t>CC23038 Review SOP SWMYQCD0017 SOP For Dissolution Profile.pdf</t>
  </si>
  <si>
    <t>CC/23/038</t>
  </si>
  <si>
    <t>CC23039 Discontinue Product license for Tobumide Tablet (MAL06011692AZ).pdf</t>
  </si>
  <si>
    <t>CC/23/039</t>
  </si>
  <si>
    <t>23-Aug-2023 05:41 PM</t>
  </si>
  <si>
    <t>CC23040 Pholcodyl Syrup Update packaging material and labelling according to DRGD Guidelines.pdf</t>
  </si>
  <si>
    <t>CC/23/040</t>
  </si>
  <si>
    <t>23-Aug-2023 05:42 PM</t>
  </si>
  <si>
    <t>CC23041 Revise procedure and specification in Laxodyl Tablet Sugar Coating Stage.pdf</t>
  </si>
  <si>
    <t>CC/23/041</t>
  </si>
  <si>
    <t>23-Aug-2023 05:43 PM</t>
  </si>
  <si>
    <t>CC23042 Review SOP SWMYQCD0170 SOP of Microbial Contamination Test on Natural Products, Includes Herbal and Traditional product (2).pdf</t>
  </si>
  <si>
    <t>CC/23/042</t>
  </si>
  <si>
    <t>23-Aug-2023 05:45 PM</t>
  </si>
  <si>
    <t>CC23043 Review SOP SWMYENG0002 Procedure of New Recieved Equipment &amp; Machine V06.pdf</t>
  </si>
  <si>
    <t>CC/23/043</t>
  </si>
  <si>
    <t>CC23010 Paedicof Syrup (MAL20040097AZ) Amend typo error on leaflet and update labelling according to DRGD guidelines.pdf</t>
  </si>
  <si>
    <t>CC/23/010</t>
  </si>
  <si>
    <t>21-Aug-2023 03:29 PM</t>
  </si>
  <si>
    <t>CC23011 Update Information and source of API (Acyclovir) for Zorax Cream.pdf</t>
  </si>
  <si>
    <t>CC/23/011</t>
  </si>
  <si>
    <t>CC23012 Update Information and source of API (Acyclovir) for Zorax Suspension.pdf</t>
  </si>
  <si>
    <t>CC/23/012</t>
  </si>
  <si>
    <t>21-Aug-2023 03:30 PM</t>
  </si>
  <si>
    <t>CC23013 Trinazole Tablet 200mg (MAL19950728AZ); Add PRH into label and leaflet and Update labelling according.pdf</t>
  </si>
  <si>
    <t>CC/23/013</t>
  </si>
  <si>
    <t>CC23014 Review SOP SWMYSTR0016 Delivery of Finished Products..pdf</t>
  </si>
  <si>
    <t>CC/23/014</t>
  </si>
  <si>
    <t>CC23015 Review SOP SWMYQAD0012 Standard Operating Procedure For Standard Operating Procedure..pdf</t>
  </si>
  <si>
    <t>CC/23/015</t>
  </si>
  <si>
    <t>21-Aug-2023 03:31 PM</t>
  </si>
  <si>
    <t>CC23016 Review SOP SWMYSTR0018 Handling of Returned Goods due to Recall or Complaint..pdf</t>
  </si>
  <si>
    <t>CC/23/016</t>
  </si>
  <si>
    <t>21-Aug-2023 03:35 PM</t>
  </si>
  <si>
    <t>CC23017 Review SOP SWMYSTR0001 Storage, sampling and dispensing of Light-Sensitive Raw Material..pdf</t>
  </si>
  <si>
    <t>CC/23/017</t>
  </si>
  <si>
    <t>CC23018 Review SOP SWMYSTR0005 Cleaning Procedure for Dispensing Area.pdf</t>
  </si>
  <si>
    <t>CC/23/018</t>
  </si>
  <si>
    <t>CC23019 Review SOP SWMYQCD0052 In-process Quality Control Procedure For Blister Packaging.pdf</t>
  </si>
  <si>
    <t>CC/23/019</t>
  </si>
  <si>
    <t>21-Aug-2023 03:36 PM</t>
  </si>
  <si>
    <t>CC23020 Review SWMYQCD0019 Cleaning Updcedure of Quality Control Instrument Update Weighing Balance.pdf</t>
  </si>
  <si>
    <t>CC/23/020</t>
  </si>
  <si>
    <t>CC23372 Update API name and add manufacturer name for Clobetasol as Farmabios is part of of AXPLORA group.pdf</t>
  </si>
  <si>
    <t>CC23384 To include filtration of syrup simplex in SOP SWMYPRD0073 version 08.pdf</t>
  </si>
  <si>
    <t>CC23374 Add new source for Gelatin 150 Bloom (Pioneer).pdf</t>
  </si>
  <si>
    <t>CC23373 Add new supplier &amp; manufacturer for Acacia as alternative source.pdf</t>
  </si>
  <si>
    <t>CC23375 Remove existing supplier &amp; manufacturer for Calcium Carbonate Light and add new supplier (Dongtai).pdf</t>
  </si>
  <si>
    <t>CC23377 Revise SWMYENG0034 Purified Water System Lot 17 Daily Monitoring Procedure.pdf</t>
  </si>
  <si>
    <t>CC23371 Revise SWMYENG0094 Maintenance Procedure of QC Equipment Stability Chamber.pdf</t>
  </si>
  <si>
    <t>CC23383 Revise SWMYENG0117 Maintenance Procedure of Production Equipment PTK Machine.pdf</t>
  </si>
  <si>
    <t>CC23390 Revised SOP SWMYENG0028 V07 SOP Purified Water System Lot 17 Backwash Procedure For Sand Filter (AMF-13) After Raw Water Booster Pump.pdf</t>
  </si>
  <si>
    <t>CC23050 Review SOP SWMENG0082 Maintenance Procedure of Production Equipment Shrink Wrapper Machine.pdf</t>
  </si>
  <si>
    <t>CC/23/354</t>
  </si>
  <si>
    <t>10-Jan-2024 10:22 AM</t>
  </si>
  <si>
    <t>CC23051 Review SOP SWMYENG0089 Tube Filling Machine V06.pdf</t>
  </si>
  <si>
    <t>CC/23/051</t>
  </si>
  <si>
    <t>CC23058 Review SOP SWMYPRD0107 Cleaning of Production Container.pdf</t>
  </si>
  <si>
    <t>10-Jan-2024 10:23 AM</t>
  </si>
  <si>
    <t>CC23052 Review SOP SWMENG0093 Maintenance Procedure of Production Equipment FG-2 Filling Machine.pdf</t>
  </si>
  <si>
    <t>CC/23/052</t>
  </si>
  <si>
    <t>CC23062 Review SOP SWMYPRD0134 Super Coater V01.pdf</t>
  </si>
  <si>
    <t>CC23068 Review SOP SWMYSTR0030 version 1 Flammable Solvents Handling and Storage.pdf</t>
  </si>
  <si>
    <t>CC/23/068</t>
  </si>
  <si>
    <t>CC23061 Review SOP SWMYPRD0030 Dehumidifier V11.pdf</t>
  </si>
  <si>
    <t>CC/23/061</t>
  </si>
  <si>
    <t>CC23064 Review SOP SWMYPRD0027 Trolley Handling V03.pdf</t>
  </si>
  <si>
    <t>CC/23/064</t>
  </si>
  <si>
    <t>CC23070 Review SOP SWMYSTR0009 V02 Receiving of Raw Material and Packaging Material.pdf</t>
  </si>
  <si>
    <t>CC/23/070</t>
  </si>
  <si>
    <t>CC23066 Mucodin Syrup (MAL19920834X) - Update leaflet to share with Mucodin Tablet.pdf</t>
  </si>
  <si>
    <t>CC/23/066</t>
  </si>
  <si>
    <t>CC23063 Review SOP SWMYPRD0109 Operation in Utility Room V02.pdf</t>
  </si>
  <si>
    <t>CC/23/063</t>
  </si>
  <si>
    <t>CC23057 Extension expiry date of Vitamin B12 Crystalline RMJ2107003-RT1 to 6 months.pdf</t>
  </si>
  <si>
    <t>CC/23/057</t>
  </si>
  <si>
    <t>CC23060 Update information and source of API (Econazole Nitrate) for SW Econazole Cream 1% ww (MAL19900319AZ).pdf</t>
  </si>
  <si>
    <t>CC/23/060</t>
  </si>
  <si>
    <t>CC23065 Dexasone Elixir 0.5mgml (MAL19870622AZ)- Update product labelling to comply with requirement in DRGD Guidelines.pdf</t>
  </si>
  <si>
    <t>CC/23/065</t>
  </si>
  <si>
    <t>CC23055 Extension expiry date of Rheosol RMJ2105031-RT1 to 6 months (2).pdf</t>
  </si>
  <si>
    <t>CC/23/055</t>
  </si>
  <si>
    <t>CC23067 Zorax Cream (MAL19990606AZ) Update artwork to comply with DRGD labelling requirement.pdf</t>
  </si>
  <si>
    <t>CC/23/067</t>
  </si>
  <si>
    <t>10-Jan-2024 10:24 AM</t>
  </si>
  <si>
    <t>CC23053 Revise process and documentation of Ferocom Tablet.pdf</t>
  </si>
  <si>
    <t>CC/23/053</t>
  </si>
  <si>
    <t>CC23054 Revise BMR Beco Tablet for Process Improvement.pdf</t>
  </si>
  <si>
    <t>CC/23/054</t>
  </si>
  <si>
    <t>CC23069 Asmol Syrup (MAL19986478AZ) Update artwork to comply with DRGD guidelines.pdf</t>
  </si>
  <si>
    <t>CC23059 Revise Procedure of Vitamin B12 Tablet.pdf</t>
  </si>
  <si>
    <t>CC/23/059</t>
  </si>
  <si>
    <t>CC23056 Revise procedure and specification of Multico Tablet in BMR.pdf</t>
  </si>
  <si>
    <t>CC/23/056</t>
  </si>
  <si>
    <t>CC/23/058</t>
  </si>
  <si>
    <t>10-Jan-2024 10:29 AM</t>
  </si>
  <si>
    <t>CC23387 Review SOP SWMYPRD0058 V03 Sop For Purified Water System (OSD) Operation in Production.pdf</t>
  </si>
  <si>
    <t>CC23391 Revised SOP SWMYENG0005 V06 SOP Maintenance Assignment Order (MAO).pdf</t>
  </si>
  <si>
    <t>CC23398 Revise SOP SWMYQAD0021 V04 SOP For Generating, Approval and issuance of In-House Label.pdf</t>
  </si>
  <si>
    <t>CC23386 Update manufacturer Simethicone name from Meha Chemical to Meha Pharma Private Limited.pdf</t>
  </si>
  <si>
    <t>CC23392 Revised SOP SWMYQAD0005 V12 SOP Change Control System.pdf</t>
  </si>
  <si>
    <t>CC23378 Revise SWMYENG0042 Maintenance Procedure of Production Equipment Small Blender.pdf</t>
  </si>
  <si>
    <t>CC23393 Revise SOP SWMYPRD0075 V05 SOP For Handling of Hot Water Facility.pdf</t>
  </si>
  <si>
    <t>CC23379 Update manufacturer name and address of Lactose 200 Mesh.pdf</t>
  </si>
  <si>
    <t>CC23399 Revise SOP SWMYPRD0018 V09 SOP For Sending Finished Product To Store.pdf</t>
  </si>
  <si>
    <t>CC23376 Revise SWMYENG0149 Purified Water System Lot 11 Pre-Treatment (Backwash and Regen) Controller Setting.pdf</t>
  </si>
  <si>
    <t>CC23380 Update manufacturer addess for Loperamide HCl.pdf</t>
  </si>
  <si>
    <t>CC23397 Revise SOP SWMYPRD0098 V02 SOP For Syrup Filter Unit.pdf</t>
  </si>
  <si>
    <t>CC23394 Revise SOP SWMYPRD0080 V08 SOP For Purified Water System (Galenical) Operation in Production.pdf</t>
  </si>
  <si>
    <t>CC23381 To amend supplier for Plasdone K90, PVP K-15, and PVP K-30 (Elite Organics) and update manufacturer addess for PVP K-15.pdf</t>
  </si>
  <si>
    <t>CC23388 Revised SOP SWMYQCD0026 V07 SOP For Cleaning Procedure For In-Process QC Laboratory.pdf</t>
  </si>
  <si>
    <t>CC23389 Revised SOP SWMYQCD0139 V09 SOP Performance Check of Auto Friability Tester.pdf</t>
  </si>
  <si>
    <t>CC23395 Revise SOP SWMYQCD0124 V03 SOP For Biosan Orbital Shaker PSU-10i.pdf</t>
  </si>
  <si>
    <t>CC23385 Revise SOP SWMYQCD0056 V05 SOP For Reference Syrup.pdf</t>
  </si>
  <si>
    <t>CC23382 Revise SWMYENG0107 HVAC System Lot 9 &amp; 11 Maintenance Procedure.pdf</t>
  </si>
  <si>
    <t>CC23396 Revise SOP SWMYQCD0164 V09 SOP For Waste Decontamination.pdf</t>
  </si>
  <si>
    <t>CC23370 Update manufacturer name and address of Syloid 63 in Approved Vendor List.pdf</t>
  </si>
  <si>
    <t>CC/23/062</t>
  </si>
  <si>
    <t>10-Jan-2024 10:30 AM</t>
  </si>
  <si>
    <t>CC/23/069</t>
  </si>
  <si>
    <t>10-Jan-2024 10:31 AM</t>
  </si>
  <si>
    <t>CC23088 Review SOP SWMYENG0129 V02 Manual Induction Sealing Machine.pdf</t>
  </si>
  <si>
    <t>CC/23/088</t>
  </si>
  <si>
    <t>10-Jan-2024 10:32 AM</t>
  </si>
  <si>
    <t>CC23075 Review SOP SWMYENG0025 V06 Operating Procedure For Storage and Distribution System.pdf</t>
  </si>
  <si>
    <t>CC/23/075</t>
  </si>
  <si>
    <t>CC23077 Review SOP SWMYENG0030 V08 Regenaration Procedire For Twin Bed.pdf</t>
  </si>
  <si>
    <t>CC/23/077</t>
  </si>
  <si>
    <t>CC23082 Review SOP SWMYENG0032 V08 Sanitization Procedure For Generation System.pdf</t>
  </si>
  <si>
    <t>CC/23/082</t>
  </si>
  <si>
    <t>CC23090 Review SOP SWMYENG0091 V04 Bottle Unscramble Machine.pdf</t>
  </si>
  <si>
    <t>CC/23/090</t>
  </si>
  <si>
    <t>CC23083 Review SOP SWMYENG0087 V06 Maintenance Procedure Of Production Equipment Dispensing Booth (SWJB2DB1).pdf</t>
  </si>
  <si>
    <t>CC/23/083</t>
  </si>
  <si>
    <t>CC23089 Review SOP SWMYENG0084 V01 Maintenance Procedure (Super Coater).pdf</t>
  </si>
  <si>
    <t>CC/23/089</t>
  </si>
  <si>
    <t>CC23078 Review SOP SWMYENG0031 V07 Regenaration Procedure For Polisher (CP-10).pdf</t>
  </si>
  <si>
    <t>CC/23/078</t>
  </si>
  <si>
    <t>CC23086 Review SOP SWMYENG0101 V02 Inspection Procedure of Raw Water Booster Pump.pdf</t>
  </si>
  <si>
    <t>CC/23/086</t>
  </si>
  <si>
    <t>CC23084 Review SOP SWMYENG0088 V06 Maintenance Procedure Of Production Equipment Bottle Air Rinser.pdf</t>
  </si>
  <si>
    <t>CC/23/084</t>
  </si>
  <si>
    <t>CC23087 Review SOP SWMYENG0103 V02 Cleaning Procedure For Water Tank.pdf</t>
  </si>
  <si>
    <t>CC/23/087</t>
  </si>
  <si>
    <t>CC23074 Review SOP SWMYREG0018 V05 SOP For Barcode System For Label.pdf</t>
  </si>
  <si>
    <t>CC/23/074</t>
  </si>
  <si>
    <t>CC23076 Review SOP SWMYENG0026 V07 Power Failure Recovering Procedure.pdf</t>
  </si>
  <si>
    <t>CC/23/076</t>
  </si>
  <si>
    <t>CC23085 Review SOP SWMYENG0100 V02 Inspection Procedure For Spray Ball.pdf</t>
  </si>
  <si>
    <t>CC/23/085</t>
  </si>
  <si>
    <t>CC23071 Review SOP SWMYSTR0002 Dispensing Raw Material V18.pdf</t>
  </si>
  <si>
    <t>CC/23/071</t>
  </si>
  <si>
    <t>CC23100 Review SOP SWMYPRD0014 V03 Additional Material Request In Production.pdf</t>
  </si>
  <si>
    <t>CC/23/100</t>
  </si>
  <si>
    <t>CC23081 Review SOP SWMYREG0020 V01 SOP For Cancellation of Product Registration in Singapore.pdf</t>
  </si>
  <si>
    <t>CC/23/081</t>
  </si>
  <si>
    <t>CC23098 Review SOP SWMYQCD0141 V02 Change Filter Cartridge in Water Filter (Water Supply For Binder).pdf</t>
  </si>
  <si>
    <t>CC/23/098</t>
  </si>
  <si>
    <t>10-Jan-2024 10:33 AM</t>
  </si>
  <si>
    <t>CC23095 Review SOP SWMYQCD0100 V08 Micromeg-Wall Mounted Deionisers (Disposal Cartridges).pdf</t>
  </si>
  <si>
    <t>CC/23/095</t>
  </si>
  <si>
    <t>CC23094 Review SOP SWMYQCD0047 V08 In-Process Quality Control of Coating Solution.pdf</t>
  </si>
  <si>
    <t>CC/23/094</t>
  </si>
  <si>
    <t>CC23001 Review SOP SWMYPRD0025 Cleaning Procedure of Production Equipment Weighing balance V02.pdf</t>
  </si>
  <si>
    <t>CC/23/001</t>
  </si>
  <si>
    <t>17-Aug-2023 11:55 AM</t>
  </si>
  <si>
    <t>CC23002 Review SOP SWMYPRD0032 Cleaning Procedure of General Area and Secondary Packing Area.pdf</t>
  </si>
  <si>
    <t>CC/23/002</t>
  </si>
  <si>
    <t>17-Aug-2023 12:01 PM</t>
  </si>
  <si>
    <t>CC23003 BMR SW Vitamin B12 Tablet; Additional sieving method in granulation procedure.pdf</t>
  </si>
  <si>
    <t>CC/23/003</t>
  </si>
  <si>
    <t>17-Aug-2023 12:04 PM</t>
  </si>
  <si>
    <t>CC23004 Develop In-House Moisture Content Specification (Mettler Toledo) Trinolone Tablet.pdf</t>
  </si>
  <si>
    <t>CC/23/004</t>
  </si>
  <si>
    <t>17-Aug-2023 12:15 PM</t>
  </si>
  <si>
    <t>CC23005 Develop In-House Moisture Content Specification (Mettler Toledo) Sunolut Tablet.pdf</t>
  </si>
  <si>
    <t>CC/23/005</t>
  </si>
  <si>
    <t>17-Aug-2023 12:16 PM</t>
  </si>
  <si>
    <t>CC23006 Revise BOM, BMR Film Coating of Sunpepcin 20 Tablet.pdf</t>
  </si>
  <si>
    <t>CC/23/006</t>
  </si>
  <si>
    <t>17-Aug-2023 12:24 PM</t>
  </si>
  <si>
    <t>CC23007 Review SOP SWMYENG0097 Standard Operating Procedure For Handling of Weighing Balance.pdf</t>
  </si>
  <si>
    <t>CC/23/007</t>
  </si>
  <si>
    <t>CC23008 Review SOP SWMYENG0099 Maintenance Procedure of Production Equipment Round Labeler and Hologram Machine.pdf</t>
  </si>
  <si>
    <t>CC/23/008</t>
  </si>
  <si>
    <t>17-Aug-2023 12:25 PM</t>
  </si>
  <si>
    <t>CC23009 Asmalin Expectorant Add PRH into label and leaflet Update labelling according to DRGD guideline.pdf</t>
  </si>
  <si>
    <t>CC/23/009</t>
  </si>
  <si>
    <t>CC23044 Review SOP SWMENG0019 Standard Operating Procedure For Access Door.pdf</t>
  </si>
  <si>
    <t>CC/23/044</t>
  </si>
  <si>
    <t>23-Aug-2023 05:46 PM</t>
  </si>
  <si>
    <t>CC23045 Review SOP SWMYENG0049 Standard Operating Procedure of Equipment Oven Machine.pdf</t>
  </si>
  <si>
    <t>CC/23/045</t>
  </si>
  <si>
    <t>23-Aug-2023 05:47 PM</t>
  </si>
  <si>
    <t>CC23046 Review SOP SWMYENG0056 Automatic Coating Machine V07.pdf</t>
  </si>
  <si>
    <t>CC/23/046</t>
  </si>
  <si>
    <t>23-Aug-2023 05:48 PM</t>
  </si>
  <si>
    <t>CC23047 Review SOP SWMYENG0059 Maintenance Procedure of Production Equipment Auto Capsulation Machine.pdf</t>
  </si>
  <si>
    <t>CC/23/047</t>
  </si>
  <si>
    <t>23-Aug-2023 05:49 PM</t>
  </si>
  <si>
    <t>CC23048 Review SOP SWMYENG0060 Maintenance Procedure of Production Equipment Tablet Counting Machine.pdf</t>
  </si>
  <si>
    <t>CC/23/048</t>
  </si>
  <si>
    <t>23-Aug-2023 05:50 PM</t>
  </si>
  <si>
    <t>CC23049 Review SOP SWMYENG0063 Deduster Machine KRAMER KD3010-500 V02.pdf</t>
  </si>
  <si>
    <t>CC/23/049</t>
  </si>
  <si>
    <t>23-Aug-2023 05:51 PM</t>
  </si>
  <si>
    <t>CC23354_V01.pdf</t>
  </si>
  <si>
    <t>Nor Amaliana SyazwaniBinti Mohd Yusof</t>
  </si>
  <si>
    <t>07-Nov-2023 01:42 PM</t>
  </si>
  <si>
    <t>CC23093 Review SOP SWMYQCD0040 V12 In-Process Quality Control of Cream.pdf</t>
  </si>
  <si>
    <t>CC/23/093</t>
  </si>
  <si>
    <t>CC23091 Review SOP SWMYQCD0003 V10 Preparation and Recording of Volumetric Solution (VS).pdf</t>
  </si>
  <si>
    <t>CC/23/091</t>
  </si>
  <si>
    <t>CC23099 Review SOP SWMYQCD008 V10 Handling of Out of Specification Result.pdf</t>
  </si>
  <si>
    <t>CC/23/099</t>
  </si>
  <si>
    <t>CC23097 Review SOP SWMYQCD0120 V04 Karl Fischer Titrator (Mettler Toledo V20).pdf</t>
  </si>
  <si>
    <t>CC/23/097</t>
  </si>
  <si>
    <t>CC23096 Review SOP SWMYQCD0109 V06 Standard Operating and Calibration Procedure For Microprocessor Bench pH Meter (Mettler Toledo SevenMulti S40).pdf</t>
  </si>
  <si>
    <t>CC/23/096</t>
  </si>
  <si>
    <t>CC23079 Extension expiry date of Senshade Orange Red PCA 906223 Color RMJ1905032-RT3 to 6 month.pdf</t>
  </si>
  <si>
    <t>CC/23/079</t>
  </si>
  <si>
    <t>CC23092 Review SOP SWMYQCD0006 V10 Recording of Instrument Activities Record.pdf</t>
  </si>
  <si>
    <t>CC/23/092</t>
  </si>
  <si>
    <t>CC23073 Review SOP SWMYPRD0128 Fluid Bed Dryer 2 V01.pdf</t>
  </si>
  <si>
    <t>CC/23/073</t>
  </si>
  <si>
    <t>CC23072 Update information and source of API (Miconazole Nitrate) for SW Miconazole Cream 2% ww (MAL19900275AZ).pdf</t>
  </si>
  <si>
    <t>CC/23/072</t>
  </si>
  <si>
    <t>CC23080 Sunvasc 5 Tablet (1809 AA 6596) Renewal Product Licence in Myanmar...pdf</t>
  </si>
  <si>
    <t>CC/23/080</t>
  </si>
  <si>
    <t>CC23130 Review SOP SWMYQAD0001 SOP For Release of Final Product V16.pdf</t>
  </si>
  <si>
    <t>CC/23/130</t>
  </si>
  <si>
    <t>10-Jan-2024 10:35 AM</t>
  </si>
  <si>
    <t>CC23112 Review SOP SWMYENG0096 Maintenance Procedure of Production Equipment Handling of Calibration For Devices V04.pdf</t>
  </si>
  <si>
    <t>CC/23/112</t>
  </si>
  <si>
    <t>10-Jan-2024 10:36 AM</t>
  </si>
  <si>
    <t>CC23114 Review T SWMYENG0 Maintenance procedure of production equipment Dispensing Booth V03.pdf</t>
  </si>
  <si>
    <t>CC/23/114</t>
  </si>
  <si>
    <t>CC23113 Review SOP SWMYENG0112 Maintenance Procedure of Facility Oil Slush Trap (OST) Tank) V01.pdf</t>
  </si>
  <si>
    <t>CC/23/113</t>
  </si>
  <si>
    <t>CC23126 Review SOP SWMYPR0073 Syrup Simplex Transfer V07.pdf</t>
  </si>
  <si>
    <t>CC/23/126</t>
  </si>
  <si>
    <t>CC23125 Review SOP SWMYPRD0072 Sugar Transfer V02.pdf</t>
  </si>
  <si>
    <t>CC/23/125</t>
  </si>
  <si>
    <t>CC23110 Review SOP SWMYQAD0019 Process Validation V08.pdf</t>
  </si>
  <si>
    <t>CC/23/110</t>
  </si>
  <si>
    <t>CC23108 Review SOP SWMYPRD0044 Oven V02.pdf</t>
  </si>
  <si>
    <t>CC/23/108</t>
  </si>
  <si>
    <t>CC23121 Increase batch size of Sunolut Tablet from 1000K to 3000K.pdf</t>
  </si>
  <si>
    <t>CC/23/121</t>
  </si>
  <si>
    <t>CC23118 Review SOP SWMYPRD0139 Subnil Cream Filling Machine V00.pdf</t>
  </si>
  <si>
    <t>CC/23/118</t>
  </si>
  <si>
    <t>CC23104 Review SOP SWMYQCD0133 Performance Verification Test (PVT) Procedure For Dissolution Tester V17.pdf</t>
  </si>
  <si>
    <t>CC/23/104</t>
  </si>
  <si>
    <t>CC23107 Review SOP SWMYPRD0041 Granulator V02.pdf</t>
  </si>
  <si>
    <t>CC/23/107</t>
  </si>
  <si>
    <t>CC23111 Review SOP SWMYPRD0047 Powder Vacuum Transfer V02.pdf</t>
  </si>
  <si>
    <t>CC/23/111</t>
  </si>
  <si>
    <t>CC23124 Review SOP SWMYPRD0064 Shrink Wrapper V02.pdf</t>
  </si>
  <si>
    <t>CC/23/124</t>
  </si>
  <si>
    <t>CC23122 Review SOP SWMYPRD0048 Tablet Hardness Tester V09.pdf</t>
  </si>
  <si>
    <t>CC/23/122</t>
  </si>
  <si>
    <t>CC23119 Review SOP SWMYPRD0040 SOP For Small Blender V02.pdf</t>
  </si>
  <si>
    <t>CC/23/119</t>
  </si>
  <si>
    <t>CC23105 Review SOP SWMYQCD0193 Swabbing method For Cleaning Validation V05.pdf</t>
  </si>
  <si>
    <t>CC/23/105</t>
  </si>
  <si>
    <t>CC23120 Review SOP SWMYPRD0046 Multidirectional Blender V02.pdf</t>
  </si>
  <si>
    <t>CC/23/120</t>
  </si>
  <si>
    <t>CC23103 Review SOP SWMYQCD0048 Quality Control on Imported Item V13.pdf</t>
  </si>
  <si>
    <t>CC/23/103</t>
  </si>
  <si>
    <t>CC23129 Product License Cancellation for Pholcodyl Syrup (MAL05072033AZ).pdf</t>
  </si>
  <si>
    <t>CC/23/129</t>
  </si>
  <si>
    <t>CC23123 Review SOP SWMYPRD0061 De-blistering of Tablets and Capsule V03.pdf</t>
  </si>
  <si>
    <t>CC/23/123</t>
  </si>
  <si>
    <t>CC23127 Product License Cancellation for Rhynacol F Syrup (MAL08010750AZ).pdf</t>
  </si>
  <si>
    <t>CC/23/127</t>
  </si>
  <si>
    <t>CC23128 Discontinue Product License For Pholcodyl Forte Syrup (MAL05072034AZ).pdf</t>
  </si>
  <si>
    <t>CC/23/128</t>
  </si>
  <si>
    <t>10-Jan-2024 10:37 AM</t>
  </si>
  <si>
    <t>CC23101 Review SOP SWMYPRD0036 V08 Control of Cross Contamination Procedure.pdf</t>
  </si>
  <si>
    <t>CC/23/101</t>
  </si>
  <si>
    <t>CC23102 Review SOP SWMYPRD0038 V02 SOP For Vacuum Cleaner.pdf</t>
  </si>
  <si>
    <t>CC/23/102</t>
  </si>
  <si>
    <t>CC23109 Zopim Tablet (MAL06091401AZ) Update packaging material to comply DRGD Requirement.pdf</t>
  </si>
  <si>
    <t>CC/23/109</t>
  </si>
  <si>
    <t>CC23106 Votan SR F.C. Tablets 100mg (MAL10070587AZ) Update FP specification and update Section A11 Warning and Precautions in Q3+.pdf</t>
  </si>
  <si>
    <t>CC/23/106</t>
  </si>
  <si>
    <t>CC23115 SW Vitamin B12 Tablet 50mcg To proposed new target unit weight 199mg to obtain better hardness and friability (200 turns).pdf</t>
  </si>
  <si>
    <t>CC/23/115</t>
  </si>
  <si>
    <t>CC23117 Sun-Glizide 30MR Tablet (MAL113030077AZ) Update source of excipient and packaging material.pdf</t>
  </si>
  <si>
    <t>CC/23/117</t>
  </si>
  <si>
    <t>CC23116 Cinolone F.C. Tablet 250mg Update source of excipient and packaging material.pdf</t>
  </si>
  <si>
    <t>CC/23/116</t>
  </si>
  <si>
    <t>CC23158 Manufacturer Discontinue Tego 51 and replaced to BM Amphocide Disinfectant.pdf</t>
  </si>
  <si>
    <t>CC/23/158</t>
  </si>
  <si>
    <t>10-Jan-2024 10:39 AM</t>
  </si>
  <si>
    <t>CC23152 Review SOP SWMYPRD0028 SOP For Cleaning Procedure of Used Utensils V02.pdf</t>
  </si>
  <si>
    <t>CC/23/152</t>
  </si>
  <si>
    <t>CC23147 Review SOP SWMYPRD0089 SOP For Motor Pump V02.pdf</t>
  </si>
  <si>
    <t>CC/23/147</t>
  </si>
  <si>
    <t>CC23141 Review SOP SWMYQAD0007 SOP For Vendor Audit V09.pdf</t>
  </si>
  <si>
    <t>CC/23/141</t>
  </si>
  <si>
    <t>CC23156 Review SOP SWMYPRD0105 SOP For Cleaning Procedure For De-Duster Bag V05.pdf</t>
  </si>
  <si>
    <t>CC/23/156</t>
  </si>
  <si>
    <t>CC23157 Review SOP SWMYPRD0112 SOP For Operation in Packing Material &amp;Tool Room V02.pdf</t>
  </si>
  <si>
    <t>CC/23/157</t>
  </si>
  <si>
    <t>CC23134 Review SOP SWMYSTR0026 Handling Hologram V03.pdf</t>
  </si>
  <si>
    <t>CC/23/134</t>
  </si>
  <si>
    <t>CC23148 Review SOP SWMYSTR0017 Receiving of Finished Product V04.pdf</t>
  </si>
  <si>
    <t>CC/23/148</t>
  </si>
  <si>
    <t>CC23150 Review SOP SWMYPRD0023 Procedure for Handling Out of Specification (OOS) in Production V07.pdf</t>
  </si>
  <si>
    <t>CC/23/150</t>
  </si>
  <si>
    <t>CC23149 Review SOP SWMYSTR0018 SOP For Handling of Returned Goods due to Recall or Complaint V13.pdf</t>
  </si>
  <si>
    <t>CC/23/149</t>
  </si>
  <si>
    <t>CC23140 Review SOP SWMYENG0078 Maintenance Procedure of Production Equipment Shutdown Machine For Holiday (V01).pdf</t>
  </si>
  <si>
    <t>CC/23/140</t>
  </si>
  <si>
    <t>CC23136 Review SOP SWMYENG0069 Maintenance Procedure of Label Counter Machine V05.pdf</t>
  </si>
  <si>
    <t>CC/23/136</t>
  </si>
  <si>
    <t>CC23137 Review SOP SWMYENG0083 Maintenance Procedure of Hobart Mixer Machine V07.pdf</t>
  </si>
  <si>
    <t>CC/23/137</t>
  </si>
  <si>
    <t>CC23145 Review SOP SWMYENG0153 Maintenance Procedure For Super Coater Chemical Solution Preparation V00.pdf</t>
  </si>
  <si>
    <t>CC/23/145</t>
  </si>
  <si>
    <t>CC23135 Review SOP SWMYENG0064 Maintenance Procedure of Metal Detector V01.pdf</t>
  </si>
  <si>
    <t>CC/23/135</t>
  </si>
  <si>
    <t>CC23144 Review SOP SWMYENG0017 Maintenance Procedure of Facility Cold Room System Lot 5 V01.pdf</t>
  </si>
  <si>
    <t>CC/23/144</t>
  </si>
  <si>
    <t>CC23146 Review SOP SWMYENG0072 Maintenance Procedure of Production Equipment Powermill Machine V02.pdf</t>
  </si>
  <si>
    <t>CC/23/146</t>
  </si>
  <si>
    <t>CC23131 To create inspection process item cards for Sugar-coated tablet and Hypocol Capsules.pdf</t>
  </si>
  <si>
    <t>CC/23/131</t>
  </si>
  <si>
    <t>CC23155 Review SOP SWMYQAD0002 SOP For Product Quality Review (PQR) V15.pdf</t>
  </si>
  <si>
    <t>CC/23/155</t>
  </si>
  <si>
    <t>CC23133 Review SOP SWMYQAD0024 Good Manufacturing Practice &amp; Good Documentation Practice.pdf</t>
  </si>
  <si>
    <t>CC/23/133</t>
  </si>
  <si>
    <t>CC23170 Review SOP SWMYQCD0111 SOP For Dial Test Indicator V06.pdf</t>
  </si>
  <si>
    <t>CC/23/170</t>
  </si>
  <si>
    <t>CC23138 Review SOP SWMYQAD0045 SOP For Area and Room Finishes Qualification (V02).pdf</t>
  </si>
  <si>
    <t>CC/23/138</t>
  </si>
  <si>
    <t>CC23159 Introduction of new production of Suntuss Syrup 3.8L export to Singapore.pdf</t>
  </si>
  <si>
    <t>CC/23/159</t>
  </si>
  <si>
    <t>CC23160 Discontinue Product License for SW Metformin Tablet 500mg (MAL07010930ASZ).pdf</t>
  </si>
  <si>
    <t>CC/23/160</t>
  </si>
  <si>
    <t>10-Jan-2024 10:40 AM</t>
  </si>
  <si>
    <t>CC23400 To extend Exp date of Packaging to 6 months and 12 months shelf life.pdf</t>
  </si>
  <si>
    <t>CC23369 To extend Exp date of Polysorbate 80 RMJ2202008-RT1 to 6 month shelf life.pdf</t>
  </si>
  <si>
    <t>CC23410 Revise SOP SWMYPRD0102 V02 SOP For Manufacturing of Light Sensitive Products.pdf</t>
  </si>
  <si>
    <t>CC23408 Revise SOP SWMYENG0010 V06 HVAC System Lot 17 Start Up Operation Procedure.pdf</t>
  </si>
  <si>
    <t>CC23409 Revise SOP SWMYENG0012 V06 HVAC System Lot 17 Power Failure Recovery Procedure.pdf</t>
  </si>
  <si>
    <t>CC23406 Revise SOP SWMYPRD0119 V02 SOP For Tablet Inspection.pdf</t>
  </si>
  <si>
    <t>CC23405 Revise SOP SWMYQCD0012 V09 SOP For Analytical Method Validation.pdf</t>
  </si>
  <si>
    <t>CC23402 Revise SOP SWMYQCD0202 V07 SOP For Incubator (Contherm).pdf</t>
  </si>
  <si>
    <t>CC23401 Revise SOP SWMYQCD0176 V13 SOP on Validation of Microbial Cotamination Test.pdf</t>
  </si>
  <si>
    <t>CC23404 Revise SOP SWMYQCD0070 V12 SOP For Destruction of Printed Packaging Materials &amp; Hologram Label.pdf</t>
  </si>
  <si>
    <t>CC23403 Revise SOP SWMYQCD0183 V04 SOP For Incubator (Thermo Scientific Heratherm).pdf</t>
  </si>
  <si>
    <t>CC23407 Revise SOP SWMYQCD0103 V08 SOP For Hwashin Ultrasonic Cleaner.pdf</t>
  </si>
  <si>
    <t>CC23411 Change Control Form Triprolidine.pdf</t>
  </si>
  <si>
    <t>CC23413 Revise SOP SWMYSTR0006 V03 SOP For Operating Procedure for Dispensing Booth.pdf</t>
  </si>
  <si>
    <t>CC23412 Change Control Form Loratadine.pdf</t>
  </si>
  <si>
    <t>CC/23/372</t>
  </si>
  <si>
    <t>11-Jan-2024 02:54 PM</t>
  </si>
  <si>
    <t>CC/23/373</t>
  </si>
  <si>
    <t>CC/23/384</t>
  </si>
  <si>
    <t>CC/23/375</t>
  </si>
  <si>
    <t>CC23162 Review SOP SWMYQCD0207 SOP For Minimum Weight Determination V02.pdf</t>
  </si>
  <si>
    <t>CC/23/162</t>
  </si>
  <si>
    <t>CC23153 Review SOP SWMYPRD0062 SOP For Handling of Rejected Packaging Materials V03.pdf</t>
  </si>
  <si>
    <t>CC/23/153</t>
  </si>
  <si>
    <t>CC23169 Review SOP SWMYQCD0078 SOP For Accelerated Stability Studies V12.pdf</t>
  </si>
  <si>
    <t>CC/23/169</t>
  </si>
  <si>
    <t>CC23161 Review SOP SWMYQCD0022 SOP For Cleaning Procedure for instrument, balance &amp; Karl Fisher Autotitrator, Chamber &amp; Retention sample V06.pdf</t>
  </si>
  <si>
    <t>CC/23/161</t>
  </si>
  <si>
    <t>CC23166 Review SOP SWMYQCD0001 SOP For Working Standard (Secondary Reference Standard) Preparation V14.pdf</t>
  </si>
  <si>
    <t>CC/23/166</t>
  </si>
  <si>
    <t>CC23139 Review SOP SWMYREG0005 SOP For Managing Purchase of Pre-printed Blister Foil (V09).pdf</t>
  </si>
  <si>
    <t>CC/23/139</t>
  </si>
  <si>
    <t>CC23164 Review SOP SWMYQCD0004 SOP For Test Solution Reagents Preparation V12.pdf</t>
  </si>
  <si>
    <t>CC/23/164</t>
  </si>
  <si>
    <t>CC23167 Review SOP SWMYQCD0025 SOP of Truscan RM V01.pdf</t>
  </si>
  <si>
    <t>CC/23/167</t>
  </si>
  <si>
    <t>CC23132 Review SOP SWMYPRD0007 SOP For Uniform Control and Segregation.pdf</t>
  </si>
  <si>
    <t>CC/23/132</t>
  </si>
  <si>
    <t>CC23168 Review SOP SWMYQCD0002 SOP For Handling of Reference Standard V13.pdf</t>
  </si>
  <si>
    <t>CC/23/168</t>
  </si>
  <si>
    <t>CC23163 Review SOP SWMYQCD0007 SOP For labelling for charts, graphs, printouts and handling of computer generated data V07.pdf</t>
  </si>
  <si>
    <t>CC/23/163</t>
  </si>
  <si>
    <t>CC23151 Discontinue Fenagesic Suspension 1L (export to singapore)-0001.pdf</t>
  </si>
  <si>
    <t>CC/23/151</t>
  </si>
  <si>
    <t>CC23143 Lindacin Capsules 150mg S.T. (Clindamycin) MAL 07082868AZ Update packaging material to comply with labelling requirement in Malaysia.pdf</t>
  </si>
  <si>
    <t>CC/23/143</t>
  </si>
  <si>
    <t>CC23165 Review SOP SWMYQCD0114 SOP For Cyberscan CON 11 Conductivity  TDS Meter V05.pdf</t>
  </si>
  <si>
    <t>CC/23/165</t>
  </si>
  <si>
    <t>CC23142 Glimin Tablets 2mg (Glimepiride) MAL07082872AZ Update packaging material to comply with labelling requirement in Malaysia.pdf</t>
  </si>
  <si>
    <t>CC/23/142</t>
  </si>
  <si>
    <t>CC23154 Bring new Syrup Tank 1000L for syrup preparation.pdf</t>
  </si>
  <si>
    <t>CC/23/154</t>
  </si>
  <si>
    <t>CC23187 Review SOP SWMYPRD0017 SOP For Receiving, Storage and issuing of Intermediate Product V20.pdf</t>
  </si>
  <si>
    <t>CC/23/187</t>
  </si>
  <si>
    <t>10-Jan-2024 10:45 AM</t>
  </si>
  <si>
    <t>CC23180 Review SOP SWMYQAD0017 SOP For Vendor Qualification and Reassessment V08.pdf</t>
  </si>
  <si>
    <t>CC/23/180</t>
  </si>
  <si>
    <t>CC23181 Review SOP SWMYPRD0057 SOP For Automatic Coating Machine V02.pdf</t>
  </si>
  <si>
    <t>CC/23/181</t>
  </si>
  <si>
    <t>CC23190 Introduction of new pack size for Sun-Dianox Tablet 10x10 manufactured in SWJB Plant.pdf</t>
  </si>
  <si>
    <t>CC/23/190</t>
  </si>
  <si>
    <t>CC23179 To amend filling procedure for all creams product manually packed in jar.pdf</t>
  </si>
  <si>
    <t>CC/23/179</t>
  </si>
  <si>
    <t>CC23183 Review SOP SWMYPRD0127 SOP For MH Labelling Machine V02.pdf</t>
  </si>
  <si>
    <t>CC/23/183</t>
  </si>
  <si>
    <t>CC23188 Review SOP SWMYPRD0055 SOP For Metal Detector V02.pdf</t>
  </si>
  <si>
    <t>CC/23/188</t>
  </si>
  <si>
    <t>CC23184 Review SOP SWMYPRD0081 SOP For Liquid Transfer Hose V03.pdf</t>
  </si>
  <si>
    <t>CC/23/184</t>
  </si>
  <si>
    <t>CC23178 Reduce allocation of packaging material (hologram label and leaflet) for Prenavit Tablet and SW Vitamin C Tablet and remove non coded label in BOM.pdf</t>
  </si>
  <si>
    <t>CC/23/178</t>
  </si>
  <si>
    <t>CC23176 Discontinue Product License for Sunocor 20 Tablet (MAL05072035AZ).pdf</t>
  </si>
  <si>
    <t>CC/23/176</t>
  </si>
  <si>
    <t>CC23186 Review SOP SWMYQCD0042 Finished Product Quality Control of Oral Solution V14.pdf</t>
  </si>
  <si>
    <t>CC/23/186</t>
  </si>
  <si>
    <t>CC23185 Review SOP SWMYQCD0013 Sampling Oral Solid Dosage For Microbial Contamination Test V12.pdf</t>
  </si>
  <si>
    <t>CC/23/185</t>
  </si>
  <si>
    <t>CC23189 Extension Expiry Date of Anhydrous Dicalcium Phosphate RMJ2101017-RT1 to 6 months shelf life.pdf</t>
  </si>
  <si>
    <t>CC/23/189</t>
  </si>
  <si>
    <t>CC23174 Review SOP SWMYREG0006 SOP For Reporting of serious adverse event in bioequivalence studies V03.pdf</t>
  </si>
  <si>
    <t>CC/23/174</t>
  </si>
  <si>
    <t>10-Jan-2024 10:46 AM</t>
  </si>
  <si>
    <t>CC23173 Review SOP SWMYREG0009 SOP For Product label, leaflet, unitbox, blister inking rubber plate and Pre-printed blister foil code V12.pdf</t>
  </si>
  <si>
    <t>CC/23/173</t>
  </si>
  <si>
    <t>CC23177 Discontinue Product License for Sunocor 40 Tablet (MAL05072032AZ).pdf</t>
  </si>
  <si>
    <t>CC/23/177</t>
  </si>
  <si>
    <t>CC23171 Review SOP SWMYREG0001 SOP For Handling of Bioequivalence Study Sample and Reference Standard V3.pdf</t>
  </si>
  <si>
    <t>CC/23/171</t>
  </si>
  <si>
    <t>CC23182 Review SOP SWMYQCD0028 SOP For Handling of QC Chemical Waste V05.pdf</t>
  </si>
  <si>
    <t>CC/23/182</t>
  </si>
  <si>
    <t>CC23172 Review SOP SWMYREG0008 SOP For Bioequivalence Study Monitoring V03.pdf</t>
  </si>
  <si>
    <t>CC/23/172</t>
  </si>
  <si>
    <t>CC23175 Extension Expiry Date of Packaging Material to 6 months - 1 year of shelf life.pdf</t>
  </si>
  <si>
    <t>CC/23/175</t>
  </si>
  <si>
    <t>CC23239 Review SOP SWMYRND0017 SOP For Shimadzu High Performance Liquid Chromatography (HPLC) Prominence LC-20A Series With LC Solution Software V00.pdf</t>
  </si>
  <si>
    <t>CC/23/239</t>
  </si>
  <si>
    <t>10-Jan-2024 10:54 AM</t>
  </si>
  <si>
    <t>CC23235 Review SOP SWMYRND0009 SOP For Chamber Temperature and Relative Humidity Data Monitoring and Recording V00.pdf</t>
  </si>
  <si>
    <t>CC/23/235</t>
  </si>
  <si>
    <t>CC23236 Review SOP SWMYRND0010 SOP For Capromax Stability Chamber (M200, M900,M1400) V00.pdf</t>
  </si>
  <si>
    <t>CC/23/236</t>
  </si>
  <si>
    <t>CC23260 Specify optimum speed in all BMR of Cream Products with 15g pack size.pdf</t>
  </si>
  <si>
    <t>CC/23/260</t>
  </si>
  <si>
    <t>CC/23/374</t>
  </si>
  <si>
    <t>CC/24/376</t>
  </si>
  <si>
    <t>CC/24/377</t>
  </si>
  <si>
    <t>CC/23/371</t>
  </si>
  <si>
    <t>CC/24/379</t>
  </si>
  <si>
    <t>CC/24/380</t>
  </si>
  <si>
    <t>CC/23/390</t>
  </si>
  <si>
    <t>CC/23/377</t>
  </si>
  <si>
    <t>CC/23/387</t>
  </si>
  <si>
    <t>CC/23/391</t>
  </si>
  <si>
    <t>CC/23/378</t>
  </si>
  <si>
    <t>CC/23/386</t>
  </si>
  <si>
    <t>11-Jan-2024 02:55 PM</t>
  </si>
  <si>
    <t>CC/24/387</t>
  </si>
  <si>
    <t>CC/24/384</t>
  </si>
  <si>
    <t>CC/23/379</t>
  </si>
  <si>
    <t>CC/24/388</t>
  </si>
  <si>
    <t>CC/23/392</t>
  </si>
  <si>
    <t>CC/23/397</t>
  </si>
  <si>
    <t>CC23415 V01 Revise SOP SWMYSTR0012 V05 SOP of Coding of Information Label &amp; Printed Unit Box.pdf</t>
  </si>
  <si>
    <t>CC/24/392</t>
  </si>
  <si>
    <t>CC/23/376</t>
  </si>
  <si>
    <t>CC/23/393</t>
  </si>
  <si>
    <t>CC23238 Review SOP SWMYRND0015 SOP For Hotplate Stirrer (Labtron HSI-A) V00.pdf</t>
  </si>
  <si>
    <t>CC/23/238</t>
  </si>
  <si>
    <t>CC23231 Review SOP SWMYRND0005 SOP For Handling of Reference Standard V00.pdf</t>
  </si>
  <si>
    <t>CC/23/231</t>
  </si>
  <si>
    <t>CC23212 Bring New DK Blister Machine.pdf</t>
  </si>
  <si>
    <t>CC/23/212</t>
  </si>
  <si>
    <t>CC23234 Review SOP SWMYRND0008 SOP For Ultrasonic Cleaner (GT Sonic D Series 9L) V00.pdf</t>
  </si>
  <si>
    <t>CC/23/234</t>
  </si>
  <si>
    <t>CC23193 Update Sunizine Tablet 1x10 BOM Quantity in NAV.pdf</t>
  </si>
  <si>
    <t>CC/23/193</t>
  </si>
  <si>
    <t>CC23232 Review SOP SWMYRND0006 SOP For Standard Operating and Calibration Procedure For pH Meter (Eutech Bench (pH2700)) v00.pdf</t>
  </si>
  <si>
    <t>CC/23/232</t>
  </si>
  <si>
    <t>CC23200 Manufacturer Vitamin B6 discontinue production from Shanghai, China Plant.pdf</t>
  </si>
  <si>
    <t>CC/23/200</t>
  </si>
  <si>
    <t>CC23192 Review SOP SWMYPRD0056 SOP For Sugar Coating V03.pdf</t>
  </si>
  <si>
    <t>CC/23/192</t>
  </si>
  <si>
    <t>CC23228 Review SOP SWMYRND0002 SOP For Protocol of Analysis Numbering System For Research and Development V00.pdf</t>
  </si>
  <si>
    <t>CC/23/228</t>
  </si>
  <si>
    <t>CC23233 Review SOP SWMYRND0007 SOP For Analytical Balance (Mettler Toledo XSR105) V00.pdf</t>
  </si>
  <si>
    <t>CC/23/233</t>
  </si>
  <si>
    <t>CC23195 Review SOP SWMYPRD0120 SOP For Palletizing Finished Product V02.pdf</t>
  </si>
  <si>
    <t>CC/23/195</t>
  </si>
  <si>
    <t>CC23229 Review SOP SWMYRND0003 SOP For Working Standard Preparation V00.pdf</t>
  </si>
  <si>
    <t>CC/23/229</t>
  </si>
  <si>
    <t>CC23196 Review SOP SWMYPRD0033 SOP For Operation and Cleaning Procedure of Production Processing Room V17.pdf</t>
  </si>
  <si>
    <t>CC/23/196</t>
  </si>
  <si>
    <t>CC23230 Review SOP SWMYRND0004 SOP For Glassware Calibration Procedure V00.pdf</t>
  </si>
  <si>
    <t>CC/23/230</t>
  </si>
  <si>
    <t>CC23194 Review SOP SWMYPRD0049 SOP For Tablet Press Machine Punches &amp; Dies Handling &amp; Inspection V07.pdf</t>
  </si>
  <si>
    <t>CC/23/194</t>
  </si>
  <si>
    <t>CC23258 Review SOP SWMYHRA0003 V03.pdf</t>
  </si>
  <si>
    <t>CC/23/258</t>
  </si>
  <si>
    <t>CC23201 Manufacturer of Hyoscine N Butylbromide change name from Alkaloids of Australia Pty Ltd to Australian Alkaloids Pty Ltd.pdf</t>
  </si>
  <si>
    <t>CC/23/201</t>
  </si>
  <si>
    <t>CC23237 Review SOP SWMYRND0014 SOP For Photomax Photostability Chamber V00.pdf</t>
  </si>
  <si>
    <t>CC/23/237</t>
  </si>
  <si>
    <t>CC23218 Review SOP SWMYRND0011 SOP For Ultra HIgh Performance Liquid Chromatography Acquity Arc 2998 (Water UHPLC) and Empower 3 Software V00.pdf</t>
  </si>
  <si>
    <t>CC/23/218</t>
  </si>
  <si>
    <t>CC23255 SW Metoclopramide Syrup Improve metoclopramide preparation step.pdf</t>
  </si>
  <si>
    <t>CC/23/255</t>
  </si>
  <si>
    <t>CC23253 Zorax Cream Improve cream preparation step by increase water used to disperse Acyclovir.pdf</t>
  </si>
  <si>
    <t>CC/23/253</t>
  </si>
  <si>
    <t>CC23220 Review SOP SWMYRND0013 SOP For U-V Visible Spectrophotometer (Agilent Cary 60) V00.pdf</t>
  </si>
  <si>
    <t>CC/23/220</t>
  </si>
  <si>
    <t>CC23197 Review SOP SWMYQAD0009 Batch Manufacturing Record V09.pdf</t>
  </si>
  <si>
    <t>CC/23/197</t>
  </si>
  <si>
    <t>CC23248 Review SOP SWMYPRD0084 SOP For Manufacturing Procedure Syrup V07.pdf</t>
  </si>
  <si>
    <t>CC/23/248</t>
  </si>
  <si>
    <t>CC23247 Trinazole Tablet (MAL19950728AZ) Production of Trinazole Tablet in batch size of 100K.pdf</t>
  </si>
  <si>
    <t>CC/23/247</t>
  </si>
  <si>
    <t>CC23227 Review SOP SWMYPRD0088 SOP For Stirrer V02.pdf</t>
  </si>
  <si>
    <t>CC/23/227</t>
  </si>
  <si>
    <t>CC23254 Review SOP SWMYPRD0052 SOP For Tablet Press (PTK PR-2000) V03.pdf</t>
  </si>
  <si>
    <t>CC/23/254</t>
  </si>
  <si>
    <t>CC23219 Review SOP SWMYRND0012 SOP For Agilent 708-DS Dissolution Apparatus with 850-DS Sampling Station V00.pdf</t>
  </si>
  <si>
    <t>CC/23/219</t>
  </si>
  <si>
    <t>CC23251 Introduction of New Saleable pack size of Fenagesic Suspension (SIN05488P), 8x10x120ml export to Singapore.pdf</t>
  </si>
  <si>
    <t>CC/23/251</t>
  </si>
  <si>
    <t>10-Jan-2024 10:55 AM</t>
  </si>
  <si>
    <t>CC23259 Review SOP SWMYPRD0083 SOP For Operating and Cleaning Procedure of Hobart Mixer V03.pdf</t>
  </si>
  <si>
    <t>CC/23/259</t>
  </si>
  <si>
    <t>CC23191 Review SOP SWMYPRD0035 SOP For Line Clearance Procedure V11.pdf</t>
  </si>
  <si>
    <t>CC/23/191</t>
  </si>
  <si>
    <t>10-Jan-2024 10:56 AM</t>
  </si>
  <si>
    <t>CC23245 Review SOP SWMYENG0050 SOP For Maintenance Procedure of Production Equipment R33A Machine V07.pdf</t>
  </si>
  <si>
    <t>CC/23/245</t>
  </si>
  <si>
    <t>CC23249 Review SOP SWMYPRD0074 SOP For Storage of Unfilled Syrup V05.pdf</t>
  </si>
  <si>
    <t>CC/23/249</t>
  </si>
  <si>
    <t>CC23242 Review SOP SWMYQAD0003 SOP For Handling of Product Complaint V21.pdf</t>
  </si>
  <si>
    <t>CC/23/242</t>
  </si>
  <si>
    <t>CC23199 Review SOP SWMYQCD0029 SOP For Cleaning Mircobiology Laboratory V06.pdf</t>
  </si>
  <si>
    <t>CC/23/199</t>
  </si>
  <si>
    <t>CC23226 Review SOP SWMYPRD0069 SOP For Tablet Counting Machine V02.pdf</t>
  </si>
  <si>
    <t>CC/23/226</t>
  </si>
  <si>
    <t>CC23223 Review SOP SWMYENG0150 SOP For Purified Water System Lot 11(RO) Daily Monitoring Procedure V01.pdf</t>
  </si>
  <si>
    <t>CC/23/223</t>
  </si>
  <si>
    <t>CC23256 Review SOP SWMYENG0006 Standard Calibration Procedure For Temperature Sensor and Thermometer V06.pdf</t>
  </si>
  <si>
    <t>CC/23/256</t>
  </si>
  <si>
    <t>CC23241 Review SOP SWMYQAD0025 SOP For Rework V04.pdf</t>
  </si>
  <si>
    <t>CC/23/241</t>
  </si>
  <si>
    <t>CC23198 Review SOP SWMYQCD0192 SOP For Microbiology Laboratory Environment Monitoring V07.pdf</t>
  </si>
  <si>
    <t>CC/23/198</t>
  </si>
  <si>
    <t>CC23217 Review SOP SWMYQAD0027 SOP For Handling of Drug Master File For Active Pharmaceutical Ingredient V03.pdf</t>
  </si>
  <si>
    <t>CC/23/217</t>
  </si>
  <si>
    <t>CC23257 Review SOP SWMYENG0134 SOP For Scissor Lift Maintenance Procedure (JLG 2646ES) V01.pdf</t>
  </si>
  <si>
    <t>CC/23/257</t>
  </si>
  <si>
    <t>CC/23/383</t>
  </si>
  <si>
    <t>CC/23/380</t>
  </si>
  <si>
    <t>CC/23/382</t>
  </si>
  <si>
    <t>CC/24/402</t>
  </si>
  <si>
    <t>CC/23/394</t>
  </si>
  <si>
    <t>CC/24/397</t>
  </si>
  <si>
    <t>CC23368 Review SOP SWMYSTR009.pdf</t>
  </si>
  <si>
    <t>CC/23/368</t>
  </si>
  <si>
    <t>CC/23/388</t>
  </si>
  <si>
    <t>CC/23/389</t>
  </si>
  <si>
    <t>CC/24/405</t>
  </si>
  <si>
    <t>CC/23/381</t>
  </si>
  <si>
    <t>CC/23/395</t>
  </si>
  <si>
    <t>CC/23/385</t>
  </si>
  <si>
    <t>CC23414 V01 Revise SOP SWMYENG0139 V01 Purified Water System Lot 11 (RO) Start-up Procedure.pdf</t>
  </si>
  <si>
    <t>CC/24/409</t>
  </si>
  <si>
    <t>CC/23/396</t>
  </si>
  <si>
    <t>CC/24/408</t>
  </si>
  <si>
    <t>CC/24/410</t>
  </si>
  <si>
    <t>CC/24/412</t>
  </si>
  <si>
    <t>CC/23/370</t>
  </si>
  <si>
    <t>CC/24/414</t>
  </si>
  <si>
    <t>CC/24/415</t>
  </si>
  <si>
    <t>CC/24/416</t>
  </si>
  <si>
    <t>CC23221 Review SOP SWMYPRD0138 SOP For Videojet Printer V00.pdf</t>
  </si>
  <si>
    <t>CC/23/221</t>
  </si>
  <si>
    <t>CC23246 Review SOP SWMYENG0073 SOP For Maintenance Procedure of Production Equipment Syrup Stirrer V05.pdf</t>
  </si>
  <si>
    <t>CC/23/246</t>
  </si>
  <si>
    <t>CC23224 Extension expiry date of Rheosol AVH RMJ2105031-RT2 to 6 months shelf life.pdf</t>
  </si>
  <si>
    <t>CC/23/224</t>
  </si>
  <si>
    <t>CC23222 Review SOP SWMYENG0141 SOP For Purified Water System Lot 11 (RO) Maintenance Procedure V01.pdf</t>
  </si>
  <si>
    <t>CC/23/222</t>
  </si>
  <si>
    <t>CC23206 Review SOP SWMYQCD0213 SOP For High Performance Liquid Chromatography Waters Alliance e2695 with Empower 3 Software V00.pdf</t>
  </si>
  <si>
    <t>CC/23/206</t>
  </si>
  <si>
    <t>CC23202 Review SOP SWMYQCD0093 SOP For Blister Leak Test (Model LT-100) V12.pdf</t>
  </si>
  <si>
    <t>CC/23/202</t>
  </si>
  <si>
    <t>CC23244 Review SOP SWMYQCD0118 SOP For Dehumidifier V04.pdf</t>
  </si>
  <si>
    <t>CC/23/244</t>
  </si>
  <si>
    <t>CC23211 Monitor heavt metals test on Health Supplement Product.pdf</t>
  </si>
  <si>
    <t>CC/23/211</t>
  </si>
  <si>
    <t>CC23215 Review SOP SWMYQCD0112 SOP For Near Infrared System (FOSS NIR Systems) V06.pdf</t>
  </si>
  <si>
    <t>CC/23/215</t>
  </si>
  <si>
    <t>CC23252 Review SOP SWMYQCD0217 SOP For Ultra High Performance Liquid Chromatography Acquity Arc 2998 (Water UHPLC) and Empower 3.pdf</t>
  </si>
  <si>
    <t>CC/23/252</t>
  </si>
  <si>
    <t>CC23240 Review SOP SWMYQAD0051 SOP For Preparation of Contract Manufacturing  Contract Repacking Agreement V00.pdf</t>
  </si>
  <si>
    <t>CC/23/240</t>
  </si>
  <si>
    <t>CC23216 Review SOP SWMYQCD0208 SOP For Micro Balance (Mettler Toledo XPR2) V01.pdf</t>
  </si>
  <si>
    <t>CC/23/216</t>
  </si>
  <si>
    <t>CC23209 Review SOP SWMYQCD0194 SOP For Monitoring The Microbial Quality Of Compressed Air V06.pdf</t>
  </si>
  <si>
    <t>CC/23/209</t>
  </si>
  <si>
    <t>CC23250 Review SOP SWMYQCD0036 SOP For Quality Control on Dispensing of Raw Materials V14.pdf</t>
  </si>
  <si>
    <t>CC/23/250</t>
  </si>
  <si>
    <t>CC23205 Review SOP SWMYQCD0149 SOP For Verification Procedure of Near Infrared System (NIR) V05.pdf</t>
  </si>
  <si>
    <t>CC/23/205</t>
  </si>
  <si>
    <t>CC23204 Review SOP SWMYQCD0142 SOP For Verification Procedure For Auto-Titrator V09.pdf</t>
  </si>
  <si>
    <t>CC/23/204</t>
  </si>
  <si>
    <t>CC23214 Review SOP SWMYQCD0106 SOP For Barnstead Thermolyne Furnace, type 48000 V07.pdf</t>
  </si>
  <si>
    <t>CC/23/214</t>
  </si>
  <si>
    <t>CC23213 Review SOP SWMYQCD0034 SOP For Approval and Release of Raw Materials V15.pdf</t>
  </si>
  <si>
    <t>CC/23/213</t>
  </si>
  <si>
    <t>CC23203 Review SOP SWMYQCD0010 SOP For Laboratory Safety V10.pdf</t>
  </si>
  <si>
    <t>CC/23/203</t>
  </si>
  <si>
    <t>CC23210 Review SOP SWMYQCD0200 SOP For Tomy Autoclave V10.pdf</t>
  </si>
  <si>
    <t>CC/23/210</t>
  </si>
  <si>
    <t>CC23243 Review SOP SWMYQCD0107 SOP For Shimadzu High Performance Liquid Chromatography (HPLC) Prominence LC-20A Series With LC Solution Software V07.pdf</t>
  </si>
  <si>
    <t>CC/23/243</t>
  </si>
  <si>
    <t>CC/23/369</t>
  </si>
  <si>
    <t>11-Jan-2024 02:56 PM</t>
  </si>
  <si>
    <t>CC23208 Review SOP SWMYQCD0171 SOP of Microbial Contamination Test On Purified Water V15.pdf</t>
  </si>
  <si>
    <t>CC/23/208</t>
  </si>
  <si>
    <t>CC23207 Review SOP SWMYQCD0179 SOP For Microbial Contamination Tets on Pre-Treatment Water V09.pdf</t>
  </si>
  <si>
    <t>CC/23/207</t>
  </si>
  <si>
    <t>CC23225 PAMOL 650 TABLET (MAL20013774XZ) Update product labelling to comply with DRGD labelling requirement.pdf</t>
  </si>
  <si>
    <t>CC/23/225</t>
  </si>
  <si>
    <t>CC23294 Review SOP SWMYPRD0116 Ver02 Manufacturing and Cleaning Procedure For Big Blender 2.pdf</t>
  </si>
  <si>
    <t>CC/23/294</t>
  </si>
  <si>
    <t>10-Jan-2024 10:58 AM</t>
  </si>
  <si>
    <t>CC23291 Creation new SOP SWMYQAD0052 Ver00 SOP of Manual For Dynamic NAV.pdf</t>
  </si>
  <si>
    <t>CC/23/291</t>
  </si>
  <si>
    <t>CC23300 Review SOP SWMYPRD0059 Ver15 SOP For Bulk Packing For Tablet.pdf</t>
  </si>
  <si>
    <t>CC/23/300</t>
  </si>
  <si>
    <t>CC23297 Review SOP SWMYQAD0044 V02.pdf</t>
  </si>
  <si>
    <t>CC/23/297</t>
  </si>
  <si>
    <t>CC23289 Review SOP SWMYENG0105 Ver03 HVAC System Lot 9 &amp; 11 Shut Down Operation Procedure.pdf</t>
  </si>
  <si>
    <t>CC/23/289</t>
  </si>
  <si>
    <t>CC23288 Review SOP SWMYENG0137 Ver00 Purified Water System Lot 11 Calibration Procedure.pdf</t>
  </si>
  <si>
    <t>CC/23/288</t>
  </si>
  <si>
    <t>CC23292 Create new SOP SWMYENG0165 Ver00 Maintenance Procedure of Production Equipment Subnil Machine.pdf</t>
  </si>
  <si>
    <t>CC/23/292</t>
  </si>
  <si>
    <t>CC23277 Review SOP SWMYPRD0063 Blister Checking Procedure At Secondary Packing Area Ver04.pdf</t>
  </si>
  <si>
    <t>CC/23/277</t>
  </si>
  <si>
    <t>CC23287 Review SOP SWMYENG0135 Ver01 SOP For Scissor Lift Operation Procedure (JLG 2646ES).pdf</t>
  </si>
  <si>
    <t>CC/23/287</t>
  </si>
  <si>
    <t>CC23299 Review SOP SWMYPRD0013 Ver17 SOP For Requisition, Receiving, Issuing and ReturnReuse of Packaging Materials.pdf</t>
  </si>
  <si>
    <t>CC/23/299</t>
  </si>
  <si>
    <t>CC23276 Review SOP SWMYPRD0061 De-blistering of Tablets and Capsules Ver 04.pdf</t>
  </si>
  <si>
    <t>CC/23/276</t>
  </si>
  <si>
    <t>CC23293 Review SOP SWMYENG0035 Ver08 Purified Water System (SWJB2PW1) Maintenance Procedure.pdf</t>
  </si>
  <si>
    <t>CC/23/293</t>
  </si>
  <si>
    <t>CC23286 Create new SOP SWMYICT0001 Ver00 SOP For Computerised System Validation (1).pdf</t>
  </si>
  <si>
    <t>CC/23/286</t>
  </si>
  <si>
    <t>CC23282 Review SOP SWMYPRD0104 Ver10 SOP For Lag Time For Intermediate Product.pdf</t>
  </si>
  <si>
    <t>CC/23/282</t>
  </si>
  <si>
    <t>CC23280 Review SOP SWMYENG0120 Ver02 Operation Procedure For Diesel Generator Set.pdf</t>
  </si>
  <si>
    <t>CC/23/280</t>
  </si>
  <si>
    <t>10-Jan-2024 10:59 AM</t>
  </si>
  <si>
    <t>CC23283 Review SOP SWMYENG0066 Ver 02 SOP For Operation Procedure Compressed Air System  Lot 7.pdf</t>
  </si>
  <si>
    <t>CC/23/283</t>
  </si>
  <si>
    <t>CC23279 Review SOP SWMYENG0022 Ver04 HVAC Cleaning Procedure.pdf</t>
  </si>
  <si>
    <t>CC/23/279</t>
  </si>
  <si>
    <t>CC23284 Review SOP SWMYENG0092 Ver 01 TNB Fire Alarm Reset Procedure Lot 7 (False Alarm).pdf</t>
  </si>
  <si>
    <t>CC/23/284</t>
  </si>
  <si>
    <t>CC23285 Review SOP SWMYPRD0128 Ver02 SOP For Fluid Bed Dryer 2.pdf</t>
  </si>
  <si>
    <t>CC/23/285</t>
  </si>
  <si>
    <t>CC23298 To remove non-coded label-line in Production BOM of Diatrol Tablet 50x10's (FP-PP-TAB-014-B2).pdf</t>
  </si>
  <si>
    <t>CC/23/298</t>
  </si>
  <si>
    <t>CC23273 Obsolete SOP SWMYSCM0001 SOP For Handling Product Purchase Orders.pdf</t>
  </si>
  <si>
    <t>CC/23/273</t>
  </si>
  <si>
    <t>CC23295 Review SOP SWMYPRD0043 Ver03 SOP For Fluid Bed Dryer.pdf</t>
  </si>
  <si>
    <t>CC/23/295</t>
  </si>
  <si>
    <t>CC23272 Review SOP SWMYSCM0002 SOP For Production Planning.pdf</t>
  </si>
  <si>
    <t>CC/23/272</t>
  </si>
  <si>
    <t>CC23274 Review SOP SWMYPRD0076 Thermometer Handling V02.pdf</t>
  </si>
  <si>
    <t>CC/23/274</t>
  </si>
  <si>
    <t>CC23261 Review SOP SWMYSTR0010 Storage of Raw Materials and Packaging Materials V06.pdf</t>
  </si>
  <si>
    <t>CC/23/261</t>
  </si>
  <si>
    <t>CC23290 Review SOP SWMYENG0104 Ver03 HVAC System Lot 9&amp;11 Start up Operation Procedure.pdf</t>
  </si>
  <si>
    <t>CC/23/290</t>
  </si>
  <si>
    <t>CC23281 To update BOM for Fenagesic Suspension 60ml to use Uniart Bottle and To close BOM for Fenagesic Suspension 120ml that use Falcon bottle.pdf</t>
  </si>
  <si>
    <t>CC/23/281</t>
  </si>
  <si>
    <t>CC23265 Review SOP SWMYQCD0199 SOP For Laminar Flow Cabinet - Edamix V10.pdf</t>
  </si>
  <si>
    <t>CC/23/265</t>
  </si>
  <si>
    <t>CC23264 Review SOP SWMYQCD0161 SOP For Cleaning Glassware and Apparatus V10.pdf</t>
  </si>
  <si>
    <t>CC/23/264</t>
  </si>
  <si>
    <t>CC23270 Extension expiry date of Carnauba Wax RMJ1510042-RT6 to 12 months shelf life.pdf</t>
  </si>
  <si>
    <t>CC/23/270</t>
  </si>
  <si>
    <t>CC23262 Review SOP SWMYQCD0096 SOP For Automatic Water Distiller V08.pdf</t>
  </si>
  <si>
    <t>CC/23/262</t>
  </si>
  <si>
    <t>CC23263 Review SOP SWMYQCD0140 SOP For QC Calibration Verification and Preventive Maintenance Program V10.pdf</t>
  </si>
  <si>
    <t>CC/23/263</t>
  </si>
  <si>
    <t>CC23269 Review SOP SWMYPRD0011 SOP For Preparation of Disinfectant Solution V18.pdf</t>
  </si>
  <si>
    <t>CC/23/269</t>
  </si>
  <si>
    <t>CC23266 Review SOP SWMYQCD0210 SOP For Shimadzu Electronic Balance V00.pdf</t>
  </si>
  <si>
    <t>CC/23/266</t>
  </si>
  <si>
    <t>CC23296 Review SOP SWMYQCD0190 Ver19 SOP For Microbial Environmental Monitoring.pdf</t>
  </si>
  <si>
    <t>CC/23/296</t>
  </si>
  <si>
    <t>CC23271 Review SOP SWMYPRD0032 Cleaning Procedure of General Area and Secondary Packaging Area V03.pdf</t>
  </si>
  <si>
    <t>CC/23/271</t>
  </si>
  <si>
    <t>CC23278 Review SOP SWMYQCD0156 Ver 17 and SOP SWMYQCD0180 Ver13.pdf</t>
  </si>
  <si>
    <t>CC/23/278</t>
  </si>
  <si>
    <t>CC23268 Trinazole Tablet (MAL19872222AZ) Addition PRH in all artworks and change name of Product.pdf</t>
  </si>
  <si>
    <t>CC/23/268</t>
  </si>
  <si>
    <t>CC23267 Extension Expiry date of Sodium Metabisulphate RMJ2104040-RT1 to 6 months shelf life.pdf</t>
  </si>
  <si>
    <t>CC/23/267</t>
  </si>
  <si>
    <t>CC23275 - Glimin Tablets 2mg- MiV-PA5 &amp; MIV-PA9.pdf</t>
  </si>
  <si>
    <t>CC/23/275</t>
  </si>
  <si>
    <t>CC23318 Review SOP SWMYPRD0034 Ver02 Cleaning Procedure For Air Conditioner.pdf</t>
  </si>
  <si>
    <t>CC/23/318</t>
  </si>
  <si>
    <t>10-Jan-2024 11:06 AM</t>
  </si>
  <si>
    <t>CC23322 Review SOP SWMYQAD0029 V09 SOP For Suspected Adverse Drug Reaction Report.pdf</t>
  </si>
  <si>
    <t>CC/23/322</t>
  </si>
  <si>
    <t>CC23356 Review SOP SWMYPRD0100 V02 Sop For Bottle Unscrambler.pdf</t>
  </si>
  <si>
    <t>CC/23/356</t>
  </si>
  <si>
    <t>CC23320 Amend Special Precautions and Remarks and include stirring procedure in the filling process of Zorax Suspension and Fenagesic Suspension in BMR.pdf</t>
  </si>
  <si>
    <t>CC/23/320</t>
  </si>
  <si>
    <t>CC23313 Review SOP SWMYENG0121 Ver02 Security Procedure of Attending Alarm Signal.pdf</t>
  </si>
  <si>
    <t>CC/23/313</t>
  </si>
  <si>
    <t>CC23304 Review SOP SWMYPRD0037 Ver07 SOP For Handling of Non-Recoverable Residue (ProductionQC Solid Waste).pdf</t>
  </si>
  <si>
    <t>CC/23/304</t>
  </si>
  <si>
    <t>CC23302 Review SOP SWMYENG0041 Ver07 Maintenance Procedure of Production Equipment Big Blender Machine.pdf</t>
  </si>
  <si>
    <t>CC/23/302</t>
  </si>
  <si>
    <t>CC23315 Review SOP SWMYENG0080 Ver03 Maintenance Procedure of Production Equipment Small Blender (Dismantling &amp; Cleaning Oil Seals).pdf</t>
  </si>
  <si>
    <t>CC/23/315</t>
  </si>
  <si>
    <t>CC23331 Review SOP SWMYPRD0113 V02 Procedure For usage of Cable Tie.pdf</t>
  </si>
  <si>
    <t>CC/23/331</t>
  </si>
  <si>
    <t>CC23319 Review SOP SWMYPRD0086 Ver07 Cleaning Procedure For Production Equipment Bottles For Syrup.pdf</t>
  </si>
  <si>
    <t>CC/23/319</t>
  </si>
  <si>
    <t>CC23312 Revise final yield specification for Nephrogen Tablet BMR.pdf</t>
  </si>
  <si>
    <t>CC/23/312</t>
  </si>
  <si>
    <t>CC23347 Review SOP SWMYPRD0077 V02 SOP For Handling of Dented Deformed Aluminium Tube in Production.pdf</t>
  </si>
  <si>
    <t>CC/23/347</t>
  </si>
  <si>
    <t>CC23332 Review SOP SWMYPRD0003 V13 SOP For Handling of Rejected Intermediate Product.pdf</t>
  </si>
  <si>
    <t>CC/23/332</t>
  </si>
  <si>
    <t>CC23330 Review SOP SWMYQAD0046 Ver03 SOP For Temperature and Relative Humidity Monitoring.pdf</t>
  </si>
  <si>
    <t>CC/23/330</t>
  </si>
  <si>
    <t>CC23323 Review SOP SWMYQAD0012 VER13 SOP For Standard Operating Procedure.pdf</t>
  </si>
  <si>
    <t>CC/23/323</t>
  </si>
  <si>
    <t>CC23346 Review SOP SWMYPRD0140 V00 SOP For Power Mixer.pdf</t>
  </si>
  <si>
    <t>CC/23/346</t>
  </si>
  <si>
    <t>CC23344 Review SOP SWMYRND0001 V00 Batch Numbering System For Research and Development Department.pdf</t>
  </si>
  <si>
    <t>CC/23/344</t>
  </si>
  <si>
    <t>CC23321 Review SOPSWMYQCD0054 Ver07 SOP For Disposal of Retention Sample.pdf</t>
  </si>
  <si>
    <t>CC/23/321</t>
  </si>
  <si>
    <t>CC23343 Review SOP SWMYRND0018 V00 SOP For Comparative Dissolution Profile.pdf</t>
  </si>
  <si>
    <t>CC/23/343</t>
  </si>
  <si>
    <t>CC23355 Review SOP SWMYENG0043 V07 Maintenance Procedure of Production Equipment Granulator Machine.pdf</t>
  </si>
  <si>
    <t>CC/23/355</t>
  </si>
  <si>
    <t>CC23329 Review SOP SWMYQCD0037 Ver15 SOP For In-process Quality Control of Intermediate in Oral Solid Dosage (OSD).pdf</t>
  </si>
  <si>
    <t>CC/23/329</t>
  </si>
  <si>
    <t>CC23305 Review SOP SWMYQCD0177 Ver11 SOP For Negative Control.pdf</t>
  </si>
  <si>
    <t>CC/23/305</t>
  </si>
  <si>
    <t>CC23314 Review SOP SWMYENG0119 Ver02 Maintenance Procedure of Production Equipment Mechanical Sifter.pdf</t>
  </si>
  <si>
    <t>CC/23/314</t>
  </si>
  <si>
    <t>CC23359 To remove 'PVS' statement in BMR front page for a list of products that were included in 2019's upsize project.pdf</t>
  </si>
  <si>
    <t>CC/23/359</t>
  </si>
  <si>
    <t>CC23342 Zadipro Syrup (MAL19986512AZ) Artwork Project 1- Addition PRH into all artworks and update revision no and date.pdf</t>
  </si>
  <si>
    <t>CC/23/342</t>
  </si>
  <si>
    <t>CC23341 Obsolete SOP SWMYENG0076 Maintenance Procedure of Production Equipment Deduster Machine.pdf</t>
  </si>
  <si>
    <t>CC/23/341</t>
  </si>
  <si>
    <t>CC23353 Review SOP SWMYRND0016 V00 SOP For Stability Study (Real Time and Accelerated Condition).pdf</t>
  </si>
  <si>
    <t>CC/23/353</t>
  </si>
  <si>
    <t>CC23311 Review SOP SWMYQCD0050 Ver12 SOP For Quality Control on Retention Sample.pdf</t>
  </si>
  <si>
    <t>CC/23/311</t>
  </si>
  <si>
    <t>CC23350 Review SOP SWMYENG0118 V02 Maintenance Procedure of General Equipment Uninterruptible Power Supply (UPS).pdf</t>
  </si>
  <si>
    <t>CC/23/350</t>
  </si>
  <si>
    <t>CC23307  Review SOP SWMYQCD0212 Ver00 SOP For General Purpose and Acid Fume Hood (POLAB).pdf</t>
  </si>
  <si>
    <t>CC/23/307</t>
  </si>
  <si>
    <t>CC23328 Review SOP SWMYQCD0057 Ver24 Handling, Sampling and Retention Sample of Incoming Raw Materials in Quarantine.pdf</t>
  </si>
  <si>
    <t>CC/23/328</t>
  </si>
  <si>
    <t>CC23351 Review SOP SWMYENG0065 V06 Maintenance Procedure of Production Equipment TR-102T Machine.pdf</t>
  </si>
  <si>
    <t>CC/23/351</t>
  </si>
  <si>
    <t>CC23306 Review SOP SWMYQCD0195 Ver05 SOP For Glove Print Test.pdf</t>
  </si>
  <si>
    <t>CC/23/306</t>
  </si>
  <si>
    <t>10-Jan-2024 11:07 AM</t>
  </si>
  <si>
    <t>CC23308 Creation new SOP SWMYQCD0216 SOP For Sampling Booth and Dispensing Booth performance Check.pdf</t>
  </si>
  <si>
    <t>CC/23/308</t>
  </si>
  <si>
    <t>CC23326 Review SOP SWMYQCD0122 Ver03 SOP For Semi-Micro Balance (Sartorius Cubis MSA125P-100-DU) with printer.pdf</t>
  </si>
  <si>
    <t>CC/23/326</t>
  </si>
  <si>
    <t>CC23325 Improve Granulation Colourant Premix Procedure in BMR Allersin F Tablet.pdf</t>
  </si>
  <si>
    <t>CC/23/325</t>
  </si>
  <si>
    <t>CC23327 Review SOP SWMYQCD0121 Ver03 SOP For Analytical Balance (Sartorius Quintix 224-1S) with printer.pdf</t>
  </si>
  <si>
    <t>CC/23/327</t>
  </si>
  <si>
    <t>CC23345 Review SOP SWMYQCD0205 V00 SOP Of Microbial Contamination Test on Health Supplement.pdf</t>
  </si>
  <si>
    <t>CC/23/345</t>
  </si>
  <si>
    <t>CC23339 Review SOP SWMYQCD0108 V07 SOP For Semi-Micro Balance (Mettler Toledo XP205).pdf</t>
  </si>
  <si>
    <t>CC/23/339</t>
  </si>
  <si>
    <t>CC23352 Review SOP SWMYENG0150 V02 Purified Water System Lot 11 (RO) Daily Monitoring Procedure.pdf</t>
  </si>
  <si>
    <t>CC/23/352</t>
  </si>
  <si>
    <t>CC23338 Review SOP SWMYQCD0146 V10 Daily Internal  External Calibration Proedure of Analytical Balance, Semi-Micro Balance &amp; Micro Balance.pdf</t>
  </si>
  <si>
    <t>CC/23/338</t>
  </si>
  <si>
    <t>CC23349 Review SOP SWMYENG0074 V04 Maintenance Procedure of Production Equipment CVC Blistering Machine.pdf</t>
  </si>
  <si>
    <t>CC/23/349</t>
  </si>
  <si>
    <t>CC23301 Review SOP SWMYENG0106 Ver03 SOP For HVAC System Lot 9 &amp; Lot 11 Power Failure Recovery Procedure.pdf</t>
  </si>
  <si>
    <t>CC/23/301</t>
  </si>
  <si>
    <t>CC23336 Review SOP SWMYQCD0068 V10 SOP For Approval of Coded Printed Packaging Material.pdf</t>
  </si>
  <si>
    <t>CC/23/336</t>
  </si>
  <si>
    <t>CC23340 Review SOP SWMYQCD0009 V11 SOP For Quality Control Reference Numbering System.pdf</t>
  </si>
  <si>
    <t>CC/23/340</t>
  </si>
  <si>
    <t>CC23337 Review SOP SWMYQCD0031 V06 SOP For Nir Library Data Selection and Validation.pdf</t>
  </si>
  <si>
    <t>CC/23/337</t>
  </si>
  <si>
    <t>CC23309 Extension Expiry Date of Senshade Orange Red PCS 906223 Color RMJ1905032-RT4 to 6 months shelf life.pdf</t>
  </si>
  <si>
    <t>CC/23/309</t>
  </si>
  <si>
    <t>CC23357 Review SOP SWMYREG0004 V10 SOP For Managing Purchase of Label, Leaflet, Unit Box, Aluminium Tube and Rubber Plate.pdf</t>
  </si>
  <si>
    <t>CC/23/357</t>
  </si>
  <si>
    <t>CC23303 Review SOP SWMYENG0051 Ver07 Maintenance Procedure of Production Equipment R21 Machine.pdf</t>
  </si>
  <si>
    <t>CC/23/303</t>
  </si>
  <si>
    <t>CC23358 Review SOP SWMYREG0002 V11 SOP For Preparation of Product Dossier For Export Contract Manufacturing Registration.pdf</t>
  </si>
  <si>
    <t>CC/23/358</t>
  </si>
  <si>
    <t>CC23310 Sunazol Cream (MAL19990262AZ) -Addition Production Registration Holder (PRH) into all artworks.pdf</t>
  </si>
  <si>
    <t>CC/23/310</t>
  </si>
  <si>
    <t>CC23316 Zorax Suspension (MAL19991445AZ) Update product labelling for all artworks.pdf</t>
  </si>
  <si>
    <t>CC/23/316</t>
  </si>
  <si>
    <t>CC23324 SW Calamine Lotion (MAL19913279XZ) Artwork Project 1- To include PRH in all artworks and barcode in all labels.pdf</t>
  </si>
  <si>
    <t>CC/23/324</t>
  </si>
  <si>
    <t>CC23333 SW Dimenhydrinate Tablet 50mg (MAL19871808AZ) Artwork Project 1- To include PRH in all artworks and barcode in all labels.pdf</t>
  </si>
  <si>
    <t>CC/23/333</t>
  </si>
  <si>
    <t>CC23334 Tenol Tablet (MAL19871808AZ) Artwork Project 1- To include PRH in all artworks and barcode in all labels.pdf</t>
  </si>
  <si>
    <t>CC/23/334</t>
  </si>
  <si>
    <t>CC23335 Nephrogen Tablet (MAL20040324XZ) To remove pack size of 100 tablets per bottle and update artwork.pdf</t>
  </si>
  <si>
    <t>CC/23/335</t>
  </si>
  <si>
    <t>CC23317 Zadipro Tablet (MAL20132319AEZ) Update product labelling for all artworks.pdf</t>
  </si>
  <si>
    <t>CC/23/317</t>
  </si>
  <si>
    <t>CC23348 Remove Wockhardt Mfr Dextromethorphan Hbr from approved vendor list and will work from source Hy-Gro Chemicals.pdf</t>
  </si>
  <si>
    <t>CC/23/348</t>
  </si>
  <si>
    <t>CC23367 Review SOP SWMYENG0027 V07 Purified Water System Lot 17 Backwash Procedure For Sand Filter (MMF-13) Before Raw Water Tank.pdf</t>
  </si>
  <si>
    <t>CC/23/367</t>
  </si>
  <si>
    <t>10-Jan-2024 11:13 AM</t>
  </si>
  <si>
    <t>CC23363 Review SOP SWMYENG0075 V04 Maintenance Procedure of Production Equipment Drum Pump.pdf</t>
  </si>
  <si>
    <t>CC/23/363</t>
  </si>
  <si>
    <t>CC23360 To run Mucodin Tablet  at TR Machine for MY Market and G&amp;H Market.pdf</t>
  </si>
  <si>
    <t>CC/23/360</t>
  </si>
  <si>
    <t>CC23362 Review SOP SWMYENG0128 V02 Maintenance Procedure of Production Equipment De-Blister Machine.pdf</t>
  </si>
  <si>
    <t>CC/23/362</t>
  </si>
  <si>
    <t>CC23361 Obsolete SOP for Fisher Scientific Ultrasonic Cleaner S100H.pdf</t>
  </si>
  <si>
    <t>CC/23/361</t>
  </si>
  <si>
    <t>CC23366 SP-Cortil 10 Syrup (MAL20040566AZ) Update revision number, barcode and addition of PRH for all artworks.pdf</t>
  </si>
  <si>
    <t>CC/23/366</t>
  </si>
  <si>
    <t>CC23365 Mendicof Syrup (MAL20040100AZ) UpdatePRH and revision number for all artworks.pdf</t>
  </si>
  <si>
    <t>CC/23/365</t>
  </si>
  <si>
    <t>CC23364 Mucodin Tablet 375mg (BRU18122480PSI) Harmonisation product labelling Mucodin Tablet of Brunei market to same as source country, Malaysia.pdf</t>
  </si>
  <si>
    <t>CC/23/364</t>
  </si>
  <si>
    <t>Change to profile no</t>
  </si>
  <si>
    <t>Change to profile no+E:J</t>
  </si>
  <si>
    <t>CC/23/050</t>
  </si>
  <si>
    <t>CC/23/398</t>
  </si>
  <si>
    <t>CC/23/400</t>
  </si>
  <si>
    <t>CC/23/401</t>
  </si>
  <si>
    <t>CC/23/402</t>
  </si>
  <si>
    <t>CC/23/403</t>
  </si>
  <si>
    <t>CC/23/404</t>
  </si>
  <si>
    <t>CC/23/405</t>
  </si>
  <si>
    <t>CC/23/406</t>
  </si>
  <si>
    <t>CC/23/407</t>
  </si>
  <si>
    <t>CC/23/408</t>
  </si>
  <si>
    <t>CC/23/409</t>
  </si>
  <si>
    <t>CC/23/410</t>
  </si>
  <si>
    <t>CC/23/411</t>
  </si>
  <si>
    <t>CC/23/399</t>
  </si>
  <si>
    <t>CC/23/412</t>
  </si>
  <si>
    <t>CC/23/413</t>
  </si>
  <si>
    <t>CC/23/414</t>
  </si>
  <si>
    <t>CC/23/415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</si>
</sst>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416"/>
  <sheetViews>
    <sheetView tabSelected="1" workbookViewId="0">
      <pane ySplit="1" topLeftCell="A2" activePane="bottomLeft" state="frozen"/>
      <selection pane="bottomLeft" activeCell="L406" sqref="L406"/>
    </sheetView>
  </sheetViews>
  <sheetFormatPr defaultRowHeight="14.4" x14ac:dyDescent="0.3"/>
  <cols>
    <col min="1" max="1" width="8.21875" customWidth="1"/>
    <col min="3" max="4" width="17.77734375" customWidth="1"/>
    <col min="5" max="10" width="0" hidden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894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10" hidden="1" x14ac:dyDescent="0.3">
      <c r="A2" t="s">
        <v>212</v>
      </c>
      <c r="B2" t="s">
        <v>9</v>
      </c>
      <c r="C2" t="s">
        <v>213</v>
      </c>
      <c r="E2">
        <v>1962</v>
      </c>
      <c r="F2" t="s">
        <v>11</v>
      </c>
      <c r="G2" t="s">
        <v>11</v>
      </c>
      <c r="H2" t="s">
        <v>12</v>
      </c>
      <c r="I2" t="s">
        <v>214</v>
      </c>
      <c r="J2" t="str">
        <f>HYPERLINK("https://portal.sunwardpharma.com/#/?id=13884&amp;&amp;type=latest", "Click Here")</f>
        <v>Click Here</v>
      </c>
    </row>
    <row r="3" spans="1:10" hidden="1" x14ac:dyDescent="0.3">
      <c r="A3" t="s">
        <v>215</v>
      </c>
      <c r="B3" t="s">
        <v>9</v>
      </c>
      <c r="C3" t="s">
        <v>216</v>
      </c>
      <c r="E3">
        <v>2390</v>
      </c>
      <c r="F3" t="s">
        <v>11</v>
      </c>
      <c r="G3" t="s">
        <v>11</v>
      </c>
      <c r="H3" t="s">
        <v>12</v>
      </c>
      <c r="I3" t="s">
        <v>217</v>
      </c>
      <c r="J3" t="str">
        <f>HYPERLINK("https://portal.sunwardpharma.com/#/?id=13886&amp;&amp;type=latest", "Click Here")</f>
        <v>Click Here</v>
      </c>
    </row>
    <row r="4" spans="1:10" hidden="1" x14ac:dyDescent="0.3">
      <c r="A4" t="s">
        <v>218</v>
      </c>
      <c r="B4" t="s">
        <v>9</v>
      </c>
      <c r="C4" t="s">
        <v>219</v>
      </c>
      <c r="E4">
        <v>1293</v>
      </c>
      <c r="F4" t="s">
        <v>11</v>
      </c>
      <c r="G4" t="s">
        <v>11</v>
      </c>
      <c r="H4" t="s">
        <v>12</v>
      </c>
      <c r="I4" t="s">
        <v>220</v>
      </c>
      <c r="J4" t="str">
        <f>HYPERLINK("https://portal.sunwardpharma.com/#/?id=13890&amp;&amp;type=latest", "Click Here")</f>
        <v>Click Here</v>
      </c>
    </row>
    <row r="5" spans="1:10" hidden="1" x14ac:dyDescent="0.3">
      <c r="A5" t="s">
        <v>221</v>
      </c>
      <c r="B5" t="s">
        <v>9</v>
      </c>
      <c r="C5" t="s">
        <v>222</v>
      </c>
      <c r="E5">
        <v>749</v>
      </c>
      <c r="F5" t="s">
        <v>11</v>
      </c>
      <c r="G5" t="s">
        <v>895</v>
      </c>
      <c r="H5" t="s">
        <v>12</v>
      </c>
      <c r="I5" t="s">
        <v>223</v>
      </c>
      <c r="J5" t="str">
        <f>HYPERLINK("https://portal.sunwardpharma.com/#/?id=13893&amp;&amp;type=latest", "Click Here")</f>
        <v>Click Here</v>
      </c>
    </row>
    <row r="6" spans="1:10" hidden="1" x14ac:dyDescent="0.3">
      <c r="A6" t="s">
        <v>224</v>
      </c>
      <c r="B6" t="s">
        <v>9</v>
      </c>
      <c r="C6" t="s">
        <v>225</v>
      </c>
      <c r="E6">
        <v>1377</v>
      </c>
      <c r="F6" t="s">
        <v>11</v>
      </c>
      <c r="G6" t="s">
        <v>11</v>
      </c>
      <c r="H6" t="s">
        <v>12</v>
      </c>
      <c r="I6" t="s">
        <v>226</v>
      </c>
      <c r="J6" t="str">
        <f>HYPERLINK("https://portal.sunwardpharma.com/#/?id=13895&amp;&amp;type=latest", "Click Here")</f>
        <v>Click Here</v>
      </c>
    </row>
    <row r="7" spans="1:10" hidden="1" x14ac:dyDescent="0.3">
      <c r="A7" t="s">
        <v>227</v>
      </c>
      <c r="B7" t="s">
        <v>9</v>
      </c>
      <c r="C7" t="s">
        <v>228</v>
      </c>
      <c r="E7">
        <v>586</v>
      </c>
      <c r="F7" t="s">
        <v>11</v>
      </c>
      <c r="G7" t="s">
        <v>11</v>
      </c>
      <c r="H7" t="s">
        <v>12</v>
      </c>
      <c r="I7" t="s">
        <v>229</v>
      </c>
      <c r="J7" t="str">
        <f>HYPERLINK("https://portal.sunwardpharma.com/#/?id=13896&amp;&amp;type=latest", "Click Here")</f>
        <v>Click Here</v>
      </c>
    </row>
    <row r="8" spans="1:10" hidden="1" x14ac:dyDescent="0.3">
      <c r="A8" t="s">
        <v>230</v>
      </c>
      <c r="B8" t="s">
        <v>9</v>
      </c>
      <c r="C8" t="s">
        <v>231</v>
      </c>
      <c r="E8">
        <v>1784</v>
      </c>
      <c r="F8" t="s">
        <v>11</v>
      </c>
      <c r="G8" t="s">
        <v>11</v>
      </c>
      <c r="H8" t="s">
        <v>12</v>
      </c>
      <c r="I8" t="s">
        <v>229</v>
      </c>
      <c r="J8" t="str">
        <f>HYPERLINK("https://portal.sunwardpharma.com/#/?id=13897&amp;&amp;type=latest", "Click Here")</f>
        <v>Click Here</v>
      </c>
    </row>
    <row r="9" spans="1:10" hidden="1" x14ac:dyDescent="0.3">
      <c r="A9" t="s">
        <v>232</v>
      </c>
      <c r="B9" t="s">
        <v>9</v>
      </c>
      <c r="C9" t="s">
        <v>233</v>
      </c>
      <c r="E9">
        <v>1954</v>
      </c>
      <c r="F9" t="s">
        <v>11</v>
      </c>
      <c r="G9" t="s">
        <v>11</v>
      </c>
      <c r="H9" t="s">
        <v>12</v>
      </c>
      <c r="I9" t="s">
        <v>234</v>
      </c>
      <c r="J9" t="str">
        <f>HYPERLINK("https://portal.sunwardpharma.com/#/?id=13898&amp;&amp;type=latest", "Click Here")</f>
        <v>Click Here</v>
      </c>
    </row>
    <row r="10" spans="1:10" hidden="1" x14ac:dyDescent="0.3">
      <c r="A10" t="s">
        <v>235</v>
      </c>
      <c r="B10" t="s">
        <v>9</v>
      </c>
      <c r="C10" t="s">
        <v>236</v>
      </c>
      <c r="E10">
        <v>3368</v>
      </c>
      <c r="F10" t="s">
        <v>11</v>
      </c>
      <c r="G10" t="s">
        <v>11</v>
      </c>
      <c r="H10" t="s">
        <v>12</v>
      </c>
      <c r="I10" t="s">
        <v>234</v>
      </c>
      <c r="J10" t="str">
        <f>HYPERLINK("https://portal.sunwardpharma.com/#/?id=13899&amp;&amp;type=latest", "Click Here")</f>
        <v>Click Here</v>
      </c>
    </row>
    <row r="11" spans="1:10" hidden="1" x14ac:dyDescent="0.3">
      <c r="A11" t="s">
        <v>65</v>
      </c>
      <c r="B11" t="s">
        <v>9</v>
      </c>
      <c r="C11" t="s">
        <v>66</v>
      </c>
      <c r="E11">
        <v>7225</v>
      </c>
      <c r="F11" t="s">
        <v>11</v>
      </c>
      <c r="G11" t="s">
        <v>11</v>
      </c>
      <c r="H11" t="s">
        <v>12</v>
      </c>
      <c r="I11" t="s">
        <v>67</v>
      </c>
      <c r="J11" t="str">
        <f>HYPERLINK("https://portal.sunwardpharma.com/#/?id=13900&amp;&amp;type=latest", "Click Here")</f>
        <v>Click Here</v>
      </c>
    </row>
    <row r="12" spans="1:10" hidden="1" x14ac:dyDescent="0.3">
      <c r="A12" t="s">
        <v>68</v>
      </c>
      <c r="B12" t="s">
        <v>9</v>
      </c>
      <c r="C12" t="s">
        <v>69</v>
      </c>
      <c r="E12">
        <v>8358</v>
      </c>
      <c r="F12" t="s">
        <v>11</v>
      </c>
      <c r="G12" t="s">
        <v>11</v>
      </c>
      <c r="H12" t="s">
        <v>12</v>
      </c>
      <c r="I12" t="s">
        <v>67</v>
      </c>
      <c r="J12" t="str">
        <f>HYPERLINK("https://portal.sunwardpharma.com/#/?id=13902&amp;&amp;type=latest", "Click Here")</f>
        <v>Click Here</v>
      </c>
    </row>
    <row r="13" spans="1:10" hidden="1" x14ac:dyDescent="0.3">
      <c r="A13" t="s">
        <v>70</v>
      </c>
      <c r="B13" t="s">
        <v>9</v>
      </c>
      <c r="C13" t="s">
        <v>71</v>
      </c>
      <c r="E13">
        <v>8530</v>
      </c>
      <c r="F13" t="s">
        <v>11</v>
      </c>
      <c r="G13" t="s">
        <v>11</v>
      </c>
      <c r="H13" t="s">
        <v>12</v>
      </c>
      <c r="I13" t="s">
        <v>72</v>
      </c>
      <c r="J13" t="str">
        <f>HYPERLINK("https://portal.sunwardpharma.com/#/?id=13903&amp;&amp;type=latest", "Click Here")</f>
        <v>Click Here</v>
      </c>
    </row>
    <row r="14" spans="1:10" hidden="1" x14ac:dyDescent="0.3">
      <c r="A14" t="s">
        <v>73</v>
      </c>
      <c r="B14" t="s">
        <v>9</v>
      </c>
      <c r="C14" t="s">
        <v>74</v>
      </c>
      <c r="E14">
        <v>5072</v>
      </c>
      <c r="F14" t="s">
        <v>11</v>
      </c>
      <c r="G14" t="s">
        <v>11</v>
      </c>
      <c r="H14" t="s">
        <v>12</v>
      </c>
      <c r="I14" t="s">
        <v>72</v>
      </c>
      <c r="J14" t="str">
        <f>HYPERLINK("https://portal.sunwardpharma.com/#/?id=13904&amp;&amp;type=latest", "Click Here")</f>
        <v>Click Here</v>
      </c>
    </row>
    <row r="15" spans="1:10" hidden="1" x14ac:dyDescent="0.3">
      <c r="A15" t="s">
        <v>75</v>
      </c>
      <c r="B15" t="s">
        <v>9</v>
      </c>
      <c r="C15" t="s">
        <v>76</v>
      </c>
      <c r="E15">
        <v>2072</v>
      </c>
      <c r="F15" t="s">
        <v>11</v>
      </c>
      <c r="G15" t="s">
        <v>11</v>
      </c>
      <c r="H15" t="s">
        <v>12</v>
      </c>
      <c r="I15" t="s">
        <v>72</v>
      </c>
      <c r="J15" t="str">
        <f>HYPERLINK("https://portal.sunwardpharma.com/#/?id=13905&amp;&amp;type=latest", "Click Here")</f>
        <v>Click Here</v>
      </c>
    </row>
    <row r="16" spans="1:10" hidden="1" x14ac:dyDescent="0.3">
      <c r="A16" t="s">
        <v>77</v>
      </c>
      <c r="B16" t="s">
        <v>9</v>
      </c>
      <c r="C16" t="s">
        <v>78</v>
      </c>
      <c r="E16">
        <v>2315</v>
      </c>
      <c r="F16" t="s">
        <v>11</v>
      </c>
      <c r="G16" t="s">
        <v>11</v>
      </c>
      <c r="H16" t="s">
        <v>12</v>
      </c>
      <c r="I16" t="s">
        <v>79</v>
      </c>
      <c r="J16" t="str">
        <f>HYPERLINK("https://portal.sunwardpharma.com/#/?id=13907&amp;&amp;type=latest", "Click Here")</f>
        <v>Click Here</v>
      </c>
    </row>
    <row r="17" spans="1:10" hidden="1" x14ac:dyDescent="0.3">
      <c r="A17" t="s">
        <v>80</v>
      </c>
      <c r="B17" t="s">
        <v>9</v>
      </c>
      <c r="C17" t="s">
        <v>81</v>
      </c>
      <c r="E17">
        <v>2025</v>
      </c>
      <c r="F17" t="s">
        <v>11</v>
      </c>
      <c r="G17" t="s">
        <v>11</v>
      </c>
      <c r="H17" t="s">
        <v>12</v>
      </c>
      <c r="I17" t="s">
        <v>82</v>
      </c>
      <c r="J17" t="str">
        <f>HYPERLINK("https://portal.sunwardpharma.com/#/?id=13908&amp;&amp;type=latest", "Click Here")</f>
        <v>Click Here</v>
      </c>
    </row>
    <row r="18" spans="1:10" hidden="1" x14ac:dyDescent="0.3">
      <c r="A18" t="s">
        <v>83</v>
      </c>
      <c r="B18" t="s">
        <v>9</v>
      </c>
      <c r="C18" t="s">
        <v>84</v>
      </c>
      <c r="E18">
        <v>1952</v>
      </c>
      <c r="F18" t="s">
        <v>11</v>
      </c>
      <c r="G18" t="s">
        <v>11</v>
      </c>
      <c r="H18" t="s">
        <v>12</v>
      </c>
      <c r="I18" t="s">
        <v>82</v>
      </c>
      <c r="J18" t="str">
        <f>HYPERLINK("https://portal.sunwardpharma.com/#/?id=13909&amp;&amp;type=latest", "Click Here")</f>
        <v>Click Here</v>
      </c>
    </row>
    <row r="19" spans="1:10" hidden="1" x14ac:dyDescent="0.3">
      <c r="A19" t="s">
        <v>85</v>
      </c>
      <c r="B19" t="s">
        <v>9</v>
      </c>
      <c r="C19" t="s">
        <v>86</v>
      </c>
      <c r="E19">
        <v>1885</v>
      </c>
      <c r="F19" t="s">
        <v>11</v>
      </c>
      <c r="G19" t="s">
        <v>11</v>
      </c>
      <c r="H19" t="s">
        <v>12</v>
      </c>
      <c r="I19" t="s">
        <v>82</v>
      </c>
      <c r="J19" t="str">
        <f>HYPERLINK("https://portal.sunwardpharma.com/#/?id=13910&amp;&amp;type=latest", "Click Here")</f>
        <v>Click Here</v>
      </c>
    </row>
    <row r="20" spans="1:10" hidden="1" x14ac:dyDescent="0.3">
      <c r="A20" t="s">
        <v>87</v>
      </c>
      <c r="B20" t="s">
        <v>9</v>
      </c>
      <c r="C20" t="s">
        <v>88</v>
      </c>
      <c r="E20">
        <v>2841</v>
      </c>
      <c r="F20" t="s">
        <v>11</v>
      </c>
      <c r="G20" t="s">
        <v>11</v>
      </c>
      <c r="H20" t="s">
        <v>12</v>
      </c>
      <c r="I20" t="s">
        <v>89</v>
      </c>
      <c r="J20" t="str">
        <f>HYPERLINK("https://portal.sunwardpharma.com/#/?id=13921&amp;&amp;type=latest", "Click Here")</f>
        <v>Click Here</v>
      </c>
    </row>
    <row r="21" spans="1:10" hidden="1" x14ac:dyDescent="0.3">
      <c r="A21" t="s">
        <v>90</v>
      </c>
      <c r="B21" t="s">
        <v>9</v>
      </c>
      <c r="C21" t="s">
        <v>91</v>
      </c>
      <c r="E21">
        <v>3166</v>
      </c>
      <c r="F21" t="s">
        <v>11</v>
      </c>
      <c r="G21" t="s">
        <v>11</v>
      </c>
      <c r="H21" t="s">
        <v>12</v>
      </c>
      <c r="I21" t="s">
        <v>89</v>
      </c>
      <c r="J21" t="str">
        <f>HYPERLINK("https://portal.sunwardpharma.com/#/?id=13923&amp;&amp;type=latest", "Click Here")</f>
        <v>Click Here</v>
      </c>
    </row>
    <row r="22" spans="1:10" hidden="1" x14ac:dyDescent="0.3">
      <c r="A22" t="s">
        <v>8</v>
      </c>
      <c r="B22" t="s">
        <v>9</v>
      </c>
      <c r="C22" t="s">
        <v>10</v>
      </c>
      <c r="E22">
        <v>2044</v>
      </c>
      <c r="F22" t="s">
        <v>11</v>
      </c>
      <c r="G22" t="s">
        <v>11</v>
      </c>
      <c r="H22" t="s">
        <v>12</v>
      </c>
      <c r="I22" t="s">
        <v>13</v>
      </c>
      <c r="J22" t="str">
        <f>HYPERLINK("https://portal.sunwardpharma.com/#/?id=13926&amp;&amp;type=latest", "Click Here")</f>
        <v>Click Here</v>
      </c>
    </row>
    <row r="23" spans="1:10" hidden="1" x14ac:dyDescent="0.3">
      <c r="A23" t="s">
        <v>14</v>
      </c>
      <c r="B23" t="s">
        <v>9</v>
      </c>
      <c r="C23" t="s">
        <v>15</v>
      </c>
      <c r="E23">
        <v>2053</v>
      </c>
      <c r="F23" t="s">
        <v>11</v>
      </c>
      <c r="G23" t="s">
        <v>11</v>
      </c>
      <c r="H23" t="s">
        <v>12</v>
      </c>
      <c r="I23" t="s">
        <v>13</v>
      </c>
      <c r="J23" t="str">
        <f>HYPERLINK("https://portal.sunwardpharma.com/#/?id=13928&amp;&amp;type=latest", "Click Here")</f>
        <v>Click Here</v>
      </c>
    </row>
    <row r="24" spans="1:10" hidden="1" x14ac:dyDescent="0.3">
      <c r="A24" t="s">
        <v>16</v>
      </c>
      <c r="B24" t="s">
        <v>9</v>
      </c>
      <c r="C24" t="s">
        <v>17</v>
      </c>
      <c r="E24">
        <v>1784</v>
      </c>
      <c r="F24" t="s">
        <v>11</v>
      </c>
      <c r="G24" t="s">
        <v>11</v>
      </c>
      <c r="H24" t="s">
        <v>12</v>
      </c>
      <c r="I24" t="s">
        <v>18</v>
      </c>
      <c r="J24" t="str">
        <f>HYPERLINK("https://portal.sunwardpharma.com/#/?id=13930&amp;&amp;type=latest", "Click Here")</f>
        <v>Click Here</v>
      </c>
    </row>
    <row r="25" spans="1:10" hidden="1" x14ac:dyDescent="0.3">
      <c r="A25" t="s">
        <v>19</v>
      </c>
      <c r="B25" t="s">
        <v>9</v>
      </c>
      <c r="C25" t="s">
        <v>20</v>
      </c>
      <c r="E25">
        <v>2024</v>
      </c>
      <c r="F25" t="s">
        <v>11</v>
      </c>
      <c r="G25" t="s">
        <v>11</v>
      </c>
      <c r="H25" t="s">
        <v>12</v>
      </c>
      <c r="I25" t="s">
        <v>18</v>
      </c>
      <c r="J25" t="str">
        <f>HYPERLINK("https://portal.sunwardpharma.com/#/?id=11346&amp;&amp;type=latest", "Click Here")</f>
        <v>Click Here</v>
      </c>
    </row>
    <row r="26" spans="1:10" hidden="1" x14ac:dyDescent="0.3">
      <c r="A26" t="s">
        <v>21</v>
      </c>
      <c r="B26" t="s">
        <v>9</v>
      </c>
      <c r="C26" t="s">
        <v>22</v>
      </c>
      <c r="E26">
        <v>1815</v>
      </c>
      <c r="F26" t="s">
        <v>11</v>
      </c>
      <c r="G26" t="s">
        <v>11</v>
      </c>
      <c r="H26" t="s">
        <v>12</v>
      </c>
      <c r="I26" t="s">
        <v>18</v>
      </c>
      <c r="J26" t="str">
        <f>HYPERLINK("https://portal.sunwardpharma.com/#/?id=11350&amp;&amp;type=latest", "Click Here")</f>
        <v>Click Here</v>
      </c>
    </row>
    <row r="27" spans="1:10" hidden="1" x14ac:dyDescent="0.3">
      <c r="A27" t="s">
        <v>23</v>
      </c>
      <c r="B27" t="s">
        <v>9</v>
      </c>
      <c r="C27" t="s">
        <v>24</v>
      </c>
      <c r="E27">
        <v>1797</v>
      </c>
      <c r="F27" t="s">
        <v>11</v>
      </c>
      <c r="G27" t="s">
        <v>11</v>
      </c>
      <c r="H27" t="s">
        <v>12</v>
      </c>
      <c r="I27" t="s">
        <v>18</v>
      </c>
      <c r="J27" t="str">
        <f>HYPERLINK("https://portal.sunwardpharma.com/#/?id=11352&amp;&amp;type=latest", "Click Here")</f>
        <v>Click Here</v>
      </c>
    </row>
    <row r="28" spans="1:10" hidden="1" x14ac:dyDescent="0.3">
      <c r="A28" t="s">
        <v>25</v>
      </c>
      <c r="B28" t="s">
        <v>9</v>
      </c>
      <c r="C28" t="s">
        <v>26</v>
      </c>
      <c r="E28">
        <v>2112</v>
      </c>
      <c r="F28" t="s">
        <v>11</v>
      </c>
      <c r="G28" t="s">
        <v>11</v>
      </c>
      <c r="H28" t="s">
        <v>12</v>
      </c>
      <c r="I28" t="s">
        <v>18</v>
      </c>
      <c r="J28" t="str">
        <f>HYPERLINK("https://portal.sunwardpharma.com/#/?id=11353&amp;&amp;type=latest", "Click Here")</f>
        <v>Click Here</v>
      </c>
    </row>
    <row r="29" spans="1:10" hidden="1" x14ac:dyDescent="0.3">
      <c r="A29" t="s">
        <v>27</v>
      </c>
      <c r="B29" t="s">
        <v>9</v>
      </c>
      <c r="C29" t="s">
        <v>28</v>
      </c>
      <c r="E29">
        <v>904</v>
      </c>
      <c r="F29" t="s">
        <v>11</v>
      </c>
      <c r="G29" t="s">
        <v>11</v>
      </c>
      <c r="H29" t="s">
        <v>12</v>
      </c>
      <c r="I29" t="s">
        <v>29</v>
      </c>
      <c r="J29" t="str">
        <f>HYPERLINK("https://portal.sunwardpharma.com/#/?id=11354&amp;&amp;type=latest", "Click Here")</f>
        <v>Click Here</v>
      </c>
    </row>
    <row r="30" spans="1:10" hidden="1" x14ac:dyDescent="0.3">
      <c r="A30" t="s">
        <v>30</v>
      </c>
      <c r="B30" t="s">
        <v>9</v>
      </c>
      <c r="C30" t="s">
        <v>31</v>
      </c>
      <c r="E30">
        <v>1706</v>
      </c>
      <c r="F30" t="s">
        <v>11</v>
      </c>
      <c r="G30" t="s">
        <v>11</v>
      </c>
      <c r="H30" t="s">
        <v>12</v>
      </c>
      <c r="I30" t="s">
        <v>29</v>
      </c>
      <c r="J30" t="str">
        <f>HYPERLINK("https://portal.sunwardpharma.com/#/?id=11355&amp;&amp;type=latest", "Click Here")</f>
        <v>Click Here</v>
      </c>
    </row>
    <row r="31" spans="1:10" hidden="1" x14ac:dyDescent="0.3">
      <c r="A31" t="s">
        <v>32</v>
      </c>
      <c r="B31" t="s">
        <v>9</v>
      </c>
      <c r="C31" t="s">
        <v>33</v>
      </c>
      <c r="E31">
        <v>1861</v>
      </c>
      <c r="F31" t="s">
        <v>11</v>
      </c>
      <c r="G31" t="s">
        <v>11</v>
      </c>
      <c r="H31" t="s">
        <v>12</v>
      </c>
      <c r="I31" t="s">
        <v>29</v>
      </c>
      <c r="J31" t="str">
        <f>HYPERLINK("https://portal.sunwardpharma.com/#/?id=11357&amp;&amp;type=latest", "Click Here")</f>
        <v>Click Here</v>
      </c>
    </row>
    <row r="32" spans="1:10" hidden="1" x14ac:dyDescent="0.3">
      <c r="A32" t="s">
        <v>34</v>
      </c>
      <c r="B32" t="s">
        <v>9</v>
      </c>
      <c r="C32" t="s">
        <v>35</v>
      </c>
      <c r="E32">
        <v>1806</v>
      </c>
      <c r="F32" t="s">
        <v>11</v>
      </c>
      <c r="G32" t="s">
        <v>11</v>
      </c>
      <c r="H32" t="s">
        <v>12</v>
      </c>
      <c r="I32" t="s">
        <v>29</v>
      </c>
      <c r="J32" t="str">
        <f>HYPERLINK("https://portal.sunwardpharma.com/#/?id=11358&amp;&amp;type=latest", "Click Here")</f>
        <v>Click Here</v>
      </c>
    </row>
    <row r="33" spans="1:10" hidden="1" x14ac:dyDescent="0.3">
      <c r="A33" t="s">
        <v>36</v>
      </c>
      <c r="B33" t="s">
        <v>9</v>
      </c>
      <c r="C33" t="s">
        <v>37</v>
      </c>
      <c r="E33">
        <v>959</v>
      </c>
      <c r="F33" t="s">
        <v>11</v>
      </c>
      <c r="G33" t="s">
        <v>11</v>
      </c>
      <c r="H33" t="s">
        <v>12</v>
      </c>
      <c r="I33" t="s">
        <v>29</v>
      </c>
      <c r="J33" t="str">
        <f>HYPERLINK("https://portal.sunwardpharma.com/#/?id=11359&amp;&amp;type=latest", "Click Here")</f>
        <v>Click Here</v>
      </c>
    </row>
    <row r="34" spans="1:10" hidden="1" x14ac:dyDescent="0.3">
      <c r="A34" t="s">
        <v>38</v>
      </c>
      <c r="B34" t="s">
        <v>9</v>
      </c>
      <c r="C34" t="s">
        <v>39</v>
      </c>
      <c r="E34">
        <v>848</v>
      </c>
      <c r="F34" t="s">
        <v>11</v>
      </c>
      <c r="G34" t="s">
        <v>11</v>
      </c>
      <c r="H34" t="s">
        <v>12</v>
      </c>
      <c r="I34" t="s">
        <v>29</v>
      </c>
      <c r="J34" t="str">
        <f>HYPERLINK("https://portal.sunwardpharma.com/#/?id=11379&amp;&amp;type=latest", "Click Here")</f>
        <v>Click Here</v>
      </c>
    </row>
    <row r="35" spans="1:10" hidden="1" x14ac:dyDescent="0.3">
      <c r="A35" t="s">
        <v>40</v>
      </c>
      <c r="B35" t="s">
        <v>9</v>
      </c>
      <c r="C35" t="s">
        <v>41</v>
      </c>
      <c r="E35">
        <v>920</v>
      </c>
      <c r="F35" t="s">
        <v>11</v>
      </c>
      <c r="G35" t="s">
        <v>11</v>
      </c>
      <c r="H35" t="s">
        <v>12</v>
      </c>
      <c r="I35" t="s">
        <v>42</v>
      </c>
      <c r="J35" t="str">
        <f>HYPERLINK("https://portal.sunwardpharma.com/#/?id=11402&amp;&amp;type=latest", "Click Here")</f>
        <v>Click Here</v>
      </c>
    </row>
    <row r="36" spans="1:10" hidden="1" x14ac:dyDescent="0.3">
      <c r="A36" t="s">
        <v>43</v>
      </c>
      <c r="B36" t="s">
        <v>9</v>
      </c>
      <c r="C36" t="s">
        <v>44</v>
      </c>
      <c r="E36">
        <v>846</v>
      </c>
      <c r="F36" t="s">
        <v>11</v>
      </c>
      <c r="G36" t="s">
        <v>11</v>
      </c>
      <c r="H36" t="s">
        <v>12</v>
      </c>
      <c r="I36" t="s">
        <v>42</v>
      </c>
      <c r="J36" t="str">
        <f>HYPERLINK("https://portal.sunwardpharma.com/#/?id=204719&amp;&amp;type=latest", "Click Here")</f>
        <v>Click Here</v>
      </c>
    </row>
    <row r="37" spans="1:10" hidden="1" x14ac:dyDescent="0.3">
      <c r="A37" t="s">
        <v>45</v>
      </c>
      <c r="B37" t="s">
        <v>9</v>
      </c>
      <c r="C37" t="s">
        <v>46</v>
      </c>
      <c r="E37">
        <v>1640</v>
      </c>
      <c r="F37" t="s">
        <v>11</v>
      </c>
      <c r="G37" t="s">
        <v>11</v>
      </c>
      <c r="H37" t="s">
        <v>12</v>
      </c>
      <c r="I37" t="s">
        <v>42</v>
      </c>
      <c r="J37" t="str">
        <f>HYPERLINK("https://portal.sunwardpharma.com/#/?id=204720&amp;&amp;type=latest", "Click Here")</f>
        <v>Click Here</v>
      </c>
    </row>
    <row r="38" spans="1:10" hidden="1" x14ac:dyDescent="0.3">
      <c r="A38" t="s">
        <v>47</v>
      </c>
      <c r="B38" t="s">
        <v>9</v>
      </c>
      <c r="C38" t="s">
        <v>48</v>
      </c>
      <c r="E38">
        <v>874</v>
      </c>
      <c r="F38" t="s">
        <v>11</v>
      </c>
      <c r="G38" t="s">
        <v>11</v>
      </c>
      <c r="H38" t="s">
        <v>12</v>
      </c>
      <c r="I38" t="s">
        <v>42</v>
      </c>
      <c r="J38" t="str">
        <f>HYPERLINK("https://portal.sunwardpharma.com/#/?id=204721&amp;&amp;type=latest", "Click Here")</f>
        <v>Click Here</v>
      </c>
    </row>
    <row r="39" spans="1:10" hidden="1" x14ac:dyDescent="0.3">
      <c r="A39" t="s">
        <v>49</v>
      </c>
      <c r="B39" t="s">
        <v>9</v>
      </c>
      <c r="C39" t="s">
        <v>50</v>
      </c>
      <c r="E39">
        <v>1996</v>
      </c>
      <c r="F39" t="s">
        <v>11</v>
      </c>
      <c r="G39" t="s">
        <v>11</v>
      </c>
      <c r="H39" t="s">
        <v>12</v>
      </c>
      <c r="I39" t="s">
        <v>42</v>
      </c>
      <c r="J39" t="str">
        <f>HYPERLINK("https://portal.sunwardpharma.com/#/?id=204722&amp;&amp;type=latest", "Click Here")</f>
        <v>Click Here</v>
      </c>
    </row>
    <row r="40" spans="1:10" hidden="1" x14ac:dyDescent="0.3">
      <c r="A40" t="s">
        <v>51</v>
      </c>
      <c r="B40" t="s">
        <v>9</v>
      </c>
      <c r="C40" t="s">
        <v>52</v>
      </c>
      <c r="E40">
        <v>2317</v>
      </c>
      <c r="F40" t="s">
        <v>11</v>
      </c>
      <c r="G40" t="s">
        <v>11</v>
      </c>
      <c r="H40" t="s">
        <v>12</v>
      </c>
      <c r="I40" t="s">
        <v>53</v>
      </c>
      <c r="J40" t="str">
        <f>HYPERLINK("https://portal.sunwardpharma.com/#/?id=204723&amp;&amp;type=latest", "Click Here")</f>
        <v>Click Here</v>
      </c>
    </row>
    <row r="41" spans="1:10" hidden="1" x14ac:dyDescent="0.3">
      <c r="A41" t="s">
        <v>54</v>
      </c>
      <c r="B41" t="s">
        <v>9</v>
      </c>
      <c r="C41" t="s">
        <v>55</v>
      </c>
      <c r="E41">
        <v>2659</v>
      </c>
      <c r="F41" t="s">
        <v>11</v>
      </c>
      <c r="G41" t="s">
        <v>11</v>
      </c>
      <c r="H41" t="s">
        <v>12</v>
      </c>
      <c r="I41" t="s">
        <v>56</v>
      </c>
      <c r="J41" t="str">
        <f>HYPERLINK("https://portal.sunwardpharma.com/#/?id=204724&amp;&amp;type=latest", "Click Here")</f>
        <v>Click Here</v>
      </c>
    </row>
    <row r="42" spans="1:10" hidden="1" x14ac:dyDescent="0.3">
      <c r="A42" t="s">
        <v>57</v>
      </c>
      <c r="B42" t="s">
        <v>9</v>
      </c>
      <c r="C42" t="s">
        <v>58</v>
      </c>
      <c r="E42">
        <v>2603</v>
      </c>
      <c r="F42" t="s">
        <v>11</v>
      </c>
      <c r="G42" t="s">
        <v>11</v>
      </c>
      <c r="H42" t="s">
        <v>12</v>
      </c>
      <c r="I42" t="s">
        <v>59</v>
      </c>
      <c r="J42" t="str">
        <f>HYPERLINK("https://portal.sunwardpharma.com/#/?id=204725&amp;&amp;type=latest", "Click Here")</f>
        <v>Click Here</v>
      </c>
    </row>
    <row r="43" spans="1:10" hidden="1" x14ac:dyDescent="0.3">
      <c r="A43" t="s">
        <v>60</v>
      </c>
      <c r="B43" t="s">
        <v>9</v>
      </c>
      <c r="C43" t="s">
        <v>61</v>
      </c>
      <c r="E43">
        <v>2801</v>
      </c>
      <c r="F43" t="s">
        <v>11</v>
      </c>
      <c r="G43" t="s">
        <v>11</v>
      </c>
      <c r="H43" t="s">
        <v>12</v>
      </c>
      <c r="I43" t="s">
        <v>62</v>
      </c>
      <c r="J43" t="str">
        <f>HYPERLINK("https://portal.sunwardpharma.com/#/?id=204726&amp;&amp;type=latest", "Click Here")</f>
        <v>Click Here</v>
      </c>
    </row>
    <row r="44" spans="1:10" hidden="1" x14ac:dyDescent="0.3">
      <c r="A44" t="s">
        <v>63</v>
      </c>
      <c r="B44" t="s">
        <v>9</v>
      </c>
      <c r="C44" t="s">
        <v>64</v>
      </c>
      <c r="E44">
        <v>1962</v>
      </c>
      <c r="F44" t="s">
        <v>11</v>
      </c>
      <c r="G44" t="s">
        <v>11</v>
      </c>
      <c r="H44" t="s">
        <v>12</v>
      </c>
      <c r="I44" t="s">
        <v>62</v>
      </c>
      <c r="J44" t="str">
        <f>HYPERLINK("https://portal.sunwardpharma.com/#/?id=204727&amp;&amp;type=latest", "Click Here")</f>
        <v>Click Here</v>
      </c>
    </row>
    <row r="45" spans="1:10" hidden="1" x14ac:dyDescent="0.3">
      <c r="A45" t="s">
        <v>237</v>
      </c>
      <c r="B45" t="s">
        <v>9</v>
      </c>
      <c r="C45" t="s">
        <v>238</v>
      </c>
      <c r="E45">
        <v>1991</v>
      </c>
      <c r="F45" t="s">
        <v>11</v>
      </c>
      <c r="G45" t="s">
        <v>11</v>
      </c>
      <c r="H45" t="s">
        <v>12</v>
      </c>
      <c r="I45" t="s">
        <v>239</v>
      </c>
      <c r="J45" t="str">
        <f>HYPERLINK("https://portal.sunwardpharma.com/#/?id=204728&amp;&amp;type=latest", "Click Here")</f>
        <v>Click Here</v>
      </c>
    </row>
    <row r="46" spans="1:10" hidden="1" x14ac:dyDescent="0.3">
      <c r="A46" t="s">
        <v>240</v>
      </c>
      <c r="B46" t="s">
        <v>9</v>
      </c>
      <c r="C46" t="s">
        <v>241</v>
      </c>
      <c r="E46">
        <v>1964</v>
      </c>
      <c r="F46" t="s">
        <v>11</v>
      </c>
      <c r="G46" t="s">
        <v>11</v>
      </c>
      <c r="H46" t="s">
        <v>12</v>
      </c>
      <c r="I46" t="s">
        <v>242</v>
      </c>
      <c r="J46" t="str">
        <f>HYPERLINK("https://portal.sunwardpharma.com/#/?id=203732&amp;&amp;type=latest", "Click Here")</f>
        <v>Click Here</v>
      </c>
    </row>
    <row r="47" spans="1:10" hidden="1" x14ac:dyDescent="0.3">
      <c r="A47" t="s">
        <v>243</v>
      </c>
      <c r="B47" t="s">
        <v>9</v>
      </c>
      <c r="C47" t="s">
        <v>244</v>
      </c>
      <c r="E47">
        <v>1998</v>
      </c>
      <c r="F47" t="s">
        <v>11</v>
      </c>
      <c r="G47" t="s">
        <v>11</v>
      </c>
      <c r="H47" t="s">
        <v>12</v>
      </c>
      <c r="I47" t="s">
        <v>245</v>
      </c>
      <c r="J47" t="str">
        <f>HYPERLINK("https://portal.sunwardpharma.com/#/?id=203733&amp;&amp;type=latest", "Click Here")</f>
        <v>Click Here</v>
      </c>
    </row>
    <row r="48" spans="1:10" hidden="1" x14ac:dyDescent="0.3">
      <c r="A48" t="s">
        <v>246</v>
      </c>
      <c r="B48" t="s">
        <v>9</v>
      </c>
      <c r="C48" t="s">
        <v>247</v>
      </c>
      <c r="E48">
        <v>2140</v>
      </c>
      <c r="F48" t="s">
        <v>11</v>
      </c>
      <c r="G48" t="s">
        <v>11</v>
      </c>
      <c r="H48" t="s">
        <v>12</v>
      </c>
      <c r="I48" t="s">
        <v>248</v>
      </c>
      <c r="J48" t="str">
        <f>HYPERLINK("https://portal.sunwardpharma.com/#/?id=203734&amp;&amp;type=latest", "Click Here")</f>
        <v>Click Here</v>
      </c>
    </row>
    <row r="49" spans="1:10" hidden="1" x14ac:dyDescent="0.3">
      <c r="A49" t="s">
        <v>249</v>
      </c>
      <c r="B49" t="s">
        <v>9</v>
      </c>
      <c r="C49" t="s">
        <v>250</v>
      </c>
      <c r="E49">
        <v>1995</v>
      </c>
      <c r="F49" t="s">
        <v>11</v>
      </c>
      <c r="G49" t="s">
        <v>11</v>
      </c>
      <c r="H49" t="s">
        <v>12</v>
      </c>
      <c r="I49" t="s">
        <v>251</v>
      </c>
      <c r="J49" t="str">
        <f>HYPERLINK("https://portal.sunwardpharma.com/#/?id=203735&amp;&amp;type=latest", "Click Here")</f>
        <v>Click Here</v>
      </c>
    </row>
    <row r="50" spans="1:10" hidden="1" x14ac:dyDescent="0.3">
      <c r="A50" t="s">
        <v>252</v>
      </c>
      <c r="B50" t="s">
        <v>9</v>
      </c>
      <c r="C50" t="s">
        <v>253</v>
      </c>
      <c r="E50">
        <v>2048</v>
      </c>
      <c r="F50" t="s">
        <v>11</v>
      </c>
      <c r="G50" t="s">
        <v>11</v>
      </c>
      <c r="H50" t="s">
        <v>12</v>
      </c>
      <c r="I50" t="s">
        <v>254</v>
      </c>
      <c r="J50" t="str">
        <f>HYPERLINK("https://portal.sunwardpharma.com/#/?id=203736&amp;&amp;type=latest", "Click Here")</f>
        <v>Click Here</v>
      </c>
    </row>
    <row r="51" spans="1:10" x14ac:dyDescent="0.3">
      <c r="A51" t="s">
        <v>101</v>
      </c>
      <c r="B51" t="s">
        <v>9</v>
      </c>
      <c r="C51" s="1" t="s">
        <v>102</v>
      </c>
      <c r="D51" s="1" t="s">
        <v>896</v>
      </c>
      <c r="E51">
        <v>1859</v>
      </c>
      <c r="F51" t="s">
        <v>11</v>
      </c>
      <c r="G51" t="s">
        <v>11</v>
      </c>
      <c r="H51" t="s">
        <v>12</v>
      </c>
      <c r="I51" t="s">
        <v>103</v>
      </c>
      <c r="J51" t="str">
        <f>HYPERLINK("https://portal.sunwardpharma.com/#/?id=203737&amp;&amp;type=latest", "Click Here")</f>
        <v>Click Here</v>
      </c>
    </row>
    <row r="52" spans="1:10" hidden="1" x14ac:dyDescent="0.3">
      <c r="A52" t="s">
        <v>104</v>
      </c>
      <c r="B52" t="s">
        <v>9</v>
      </c>
      <c r="C52" t="s">
        <v>105</v>
      </c>
      <c r="E52">
        <v>2002</v>
      </c>
      <c r="F52" t="s">
        <v>11</v>
      </c>
      <c r="G52" t="s">
        <v>11</v>
      </c>
      <c r="H52" t="s">
        <v>12</v>
      </c>
      <c r="I52" t="s">
        <v>103</v>
      </c>
      <c r="J52" t="str">
        <f>HYPERLINK("https://portal.sunwardpharma.com/#/?id=203738&amp;&amp;type=latest", "Click Here")</f>
        <v>Click Here</v>
      </c>
    </row>
    <row r="53" spans="1:10" hidden="1" x14ac:dyDescent="0.3">
      <c r="A53" t="s">
        <v>108</v>
      </c>
      <c r="B53" t="s">
        <v>9</v>
      </c>
      <c r="C53" t="s">
        <v>109</v>
      </c>
      <c r="E53">
        <v>1785</v>
      </c>
      <c r="F53" t="s">
        <v>11</v>
      </c>
      <c r="G53" t="s">
        <v>11</v>
      </c>
      <c r="H53" t="s">
        <v>12</v>
      </c>
      <c r="I53" t="s">
        <v>107</v>
      </c>
      <c r="J53" t="str">
        <f>HYPERLINK("https://portal.sunwardpharma.com/#/?id=203739&amp;&amp;type=latest", "Click Here")</f>
        <v>Click Here</v>
      </c>
    </row>
    <row r="54" spans="1:10" hidden="1" x14ac:dyDescent="0.3">
      <c r="A54" t="s">
        <v>134</v>
      </c>
      <c r="B54" t="s">
        <v>9</v>
      </c>
      <c r="C54" t="s">
        <v>135</v>
      </c>
      <c r="E54">
        <v>4456</v>
      </c>
      <c r="F54" t="s">
        <v>11</v>
      </c>
      <c r="G54" t="s">
        <v>11</v>
      </c>
      <c r="H54" t="s">
        <v>12</v>
      </c>
      <c r="I54" t="s">
        <v>133</v>
      </c>
      <c r="J54" t="str">
        <f>HYPERLINK("https://portal.sunwardpharma.com/#/?id=203740&amp;&amp;type=latest", "Click Here")</f>
        <v>Click Here</v>
      </c>
    </row>
    <row r="55" spans="1:10" hidden="1" x14ac:dyDescent="0.3">
      <c r="A55" t="s">
        <v>136</v>
      </c>
      <c r="B55" t="s">
        <v>9</v>
      </c>
      <c r="C55" t="s">
        <v>137</v>
      </c>
      <c r="E55">
        <v>4857</v>
      </c>
      <c r="F55" t="s">
        <v>11</v>
      </c>
      <c r="G55" t="s">
        <v>11</v>
      </c>
      <c r="H55" t="s">
        <v>12</v>
      </c>
      <c r="I55" t="s">
        <v>133</v>
      </c>
      <c r="J55" t="str">
        <f>HYPERLINK("https://portal.sunwardpharma.com/#/?id=203741&amp;&amp;type=latest", "Click Here")</f>
        <v>Click Here</v>
      </c>
    </row>
    <row r="56" spans="1:10" hidden="1" x14ac:dyDescent="0.3">
      <c r="A56" t="s">
        <v>129</v>
      </c>
      <c r="B56" t="s">
        <v>9</v>
      </c>
      <c r="C56" t="s">
        <v>130</v>
      </c>
      <c r="E56">
        <v>4232</v>
      </c>
      <c r="F56" t="s">
        <v>11</v>
      </c>
      <c r="G56" t="s">
        <v>11</v>
      </c>
      <c r="H56" t="s">
        <v>12</v>
      </c>
      <c r="I56" t="s">
        <v>107</v>
      </c>
      <c r="J56" t="str">
        <f>HYPERLINK("https://portal.sunwardpharma.com/#/?id=203742&amp;&amp;type=latest", "Click Here")</f>
        <v>Click Here</v>
      </c>
    </row>
    <row r="57" spans="1:10" hidden="1" x14ac:dyDescent="0.3">
      <c r="A57" t="s">
        <v>141</v>
      </c>
      <c r="B57" t="s">
        <v>9</v>
      </c>
      <c r="C57" t="s">
        <v>142</v>
      </c>
      <c r="E57">
        <v>5533</v>
      </c>
      <c r="F57" t="s">
        <v>11</v>
      </c>
      <c r="G57" t="s">
        <v>11</v>
      </c>
      <c r="H57" t="s">
        <v>12</v>
      </c>
      <c r="I57" t="s">
        <v>133</v>
      </c>
      <c r="J57" t="str">
        <f>HYPERLINK("https://portal.sunwardpharma.com/#/?id=203743&amp;&amp;type=latest", "Click Here")</f>
        <v>Click Here</v>
      </c>
    </row>
    <row r="58" spans="1:10" hidden="1" x14ac:dyDescent="0.3">
      <c r="A58" t="s">
        <v>123</v>
      </c>
      <c r="B58" t="s">
        <v>9</v>
      </c>
      <c r="C58" t="s">
        <v>124</v>
      </c>
      <c r="E58">
        <v>2849</v>
      </c>
      <c r="F58" t="s">
        <v>11</v>
      </c>
      <c r="G58" t="s">
        <v>11</v>
      </c>
      <c r="H58" t="s">
        <v>12</v>
      </c>
      <c r="I58" t="s">
        <v>107</v>
      </c>
      <c r="J58" t="str">
        <f>HYPERLINK("https://portal.sunwardpharma.com/#/?id=203744&amp;&amp;type=latest", "Click Here")</f>
        <v>Click Here</v>
      </c>
    </row>
    <row r="59" spans="1:10" hidden="1" x14ac:dyDescent="0.3">
      <c r="A59" t="s">
        <v>106</v>
      </c>
      <c r="B59" t="s">
        <v>9</v>
      </c>
      <c r="C59" t="s">
        <v>143</v>
      </c>
      <c r="E59">
        <v>1186</v>
      </c>
      <c r="F59" t="s">
        <v>11</v>
      </c>
      <c r="G59" t="s">
        <v>11</v>
      </c>
      <c r="H59" t="s">
        <v>12</v>
      </c>
      <c r="I59" t="s">
        <v>144</v>
      </c>
      <c r="J59" t="str">
        <f>HYPERLINK("https://portal.sunwardpharma.com/#/?id=203746&amp;&amp;type=latest", "Click Here")</f>
        <v>Click Here</v>
      </c>
    </row>
    <row r="60" spans="1:10" hidden="1" x14ac:dyDescent="0.3">
      <c r="A60" t="s">
        <v>139</v>
      </c>
      <c r="B60" t="s">
        <v>9</v>
      </c>
      <c r="C60" t="s">
        <v>140</v>
      </c>
      <c r="E60">
        <v>4877</v>
      </c>
      <c r="F60" t="s">
        <v>11</v>
      </c>
      <c r="G60" t="s">
        <v>11</v>
      </c>
      <c r="H60" t="s">
        <v>12</v>
      </c>
      <c r="I60" t="s">
        <v>133</v>
      </c>
      <c r="J60" t="str">
        <f>HYPERLINK("https://portal.sunwardpharma.com/#/?id=203747&amp;&amp;type=latest", "Click Here")</f>
        <v>Click Here</v>
      </c>
    </row>
    <row r="61" spans="1:10" hidden="1" x14ac:dyDescent="0.3">
      <c r="A61" t="s">
        <v>125</v>
      </c>
      <c r="B61" t="s">
        <v>9</v>
      </c>
      <c r="C61" t="s">
        <v>126</v>
      </c>
      <c r="E61">
        <v>4247</v>
      </c>
      <c r="F61" t="s">
        <v>11</v>
      </c>
      <c r="G61" t="s">
        <v>11</v>
      </c>
      <c r="H61" t="s">
        <v>12</v>
      </c>
      <c r="I61" t="s">
        <v>107</v>
      </c>
      <c r="J61" t="str">
        <f>HYPERLINK("https://portal.sunwardpharma.com/#/?id=203748&amp;&amp;type=latest", "Click Here")</f>
        <v>Click Here</v>
      </c>
    </row>
    <row r="62" spans="1:10" hidden="1" x14ac:dyDescent="0.3">
      <c r="A62" t="s">
        <v>113</v>
      </c>
      <c r="B62" t="s">
        <v>9</v>
      </c>
      <c r="C62" t="s">
        <v>114</v>
      </c>
      <c r="E62">
        <v>2151</v>
      </c>
      <c r="F62" t="s">
        <v>11</v>
      </c>
      <c r="G62" t="s">
        <v>11</v>
      </c>
      <c r="H62" t="s">
        <v>12</v>
      </c>
      <c r="I62" t="s">
        <v>107</v>
      </c>
      <c r="J62" t="str">
        <f>HYPERLINK("https://portal.sunwardpharma.com/#/?id=203749&amp;&amp;type=latest", "Click Here")</f>
        <v>Click Here</v>
      </c>
    </row>
    <row r="63" spans="1:10" hidden="1" x14ac:dyDescent="0.3">
      <c r="A63" t="s">
        <v>110</v>
      </c>
      <c r="B63" t="s">
        <v>9</v>
      </c>
      <c r="C63" t="s">
        <v>166</v>
      </c>
      <c r="E63">
        <v>2007</v>
      </c>
      <c r="F63" t="s">
        <v>11</v>
      </c>
      <c r="G63" t="s">
        <v>11</v>
      </c>
      <c r="H63" t="s">
        <v>12</v>
      </c>
      <c r="I63" t="s">
        <v>167</v>
      </c>
      <c r="J63" t="str">
        <f>HYPERLINK("https://portal.sunwardpharma.com/#/?id=203751&amp;&amp;type=latest", "Click Here")</f>
        <v>Click Here</v>
      </c>
    </row>
    <row r="64" spans="1:10" hidden="1" x14ac:dyDescent="0.3">
      <c r="A64" t="s">
        <v>121</v>
      </c>
      <c r="B64" t="s">
        <v>9</v>
      </c>
      <c r="C64" t="s">
        <v>122</v>
      </c>
      <c r="E64">
        <v>2658</v>
      </c>
      <c r="F64" t="s">
        <v>11</v>
      </c>
      <c r="G64" t="s">
        <v>11</v>
      </c>
      <c r="H64" t="s">
        <v>12</v>
      </c>
      <c r="I64" t="s">
        <v>107</v>
      </c>
      <c r="J64" t="str">
        <f>HYPERLINK("https://portal.sunwardpharma.com/#/?id=203752&amp;&amp;type=latest", "Click Here")</f>
        <v>Click Here</v>
      </c>
    </row>
    <row r="65" spans="1:10" hidden="1" x14ac:dyDescent="0.3">
      <c r="A65" t="s">
        <v>115</v>
      </c>
      <c r="B65" t="s">
        <v>9</v>
      </c>
      <c r="C65" t="s">
        <v>116</v>
      </c>
      <c r="E65">
        <v>2202</v>
      </c>
      <c r="F65" t="s">
        <v>11</v>
      </c>
      <c r="G65" t="s">
        <v>11</v>
      </c>
      <c r="H65" t="s">
        <v>12</v>
      </c>
      <c r="I65" t="s">
        <v>107</v>
      </c>
      <c r="J65" t="str">
        <f>HYPERLINK("https://portal.sunwardpharma.com/#/?id=203754&amp;&amp;type=latest", "Click Here")</f>
        <v>Click Here</v>
      </c>
    </row>
    <row r="66" spans="1:10" hidden="1" x14ac:dyDescent="0.3">
      <c r="A66" t="s">
        <v>127</v>
      </c>
      <c r="B66" t="s">
        <v>9</v>
      </c>
      <c r="C66" t="s">
        <v>128</v>
      </c>
      <c r="E66">
        <v>4323</v>
      </c>
      <c r="F66" t="s">
        <v>11</v>
      </c>
      <c r="G66" t="s">
        <v>11</v>
      </c>
      <c r="H66" t="s">
        <v>12</v>
      </c>
      <c r="I66" t="s">
        <v>107</v>
      </c>
      <c r="J66" t="str">
        <f>HYPERLINK("https://portal.sunwardpharma.com/#/?id=204729&amp;&amp;type=latest", "Click Here")</f>
        <v>Click Here</v>
      </c>
    </row>
    <row r="67" spans="1:10" hidden="1" x14ac:dyDescent="0.3">
      <c r="A67" t="s">
        <v>119</v>
      </c>
      <c r="B67" t="s">
        <v>9</v>
      </c>
      <c r="C67" t="s">
        <v>120</v>
      </c>
      <c r="E67">
        <v>2414</v>
      </c>
      <c r="F67" t="s">
        <v>11</v>
      </c>
      <c r="G67" t="s">
        <v>11</v>
      </c>
      <c r="H67" t="s">
        <v>12</v>
      </c>
      <c r="I67" t="s">
        <v>107</v>
      </c>
      <c r="J67" t="str">
        <f>HYPERLINK("https://portal.sunwardpharma.com/#/?id=204730&amp;&amp;type=latest", "Click Here")</f>
        <v>Click Here</v>
      </c>
    </row>
    <row r="68" spans="1:10" hidden="1" x14ac:dyDescent="0.3">
      <c r="A68" t="s">
        <v>131</v>
      </c>
      <c r="B68" t="s">
        <v>9</v>
      </c>
      <c r="C68" t="s">
        <v>132</v>
      </c>
      <c r="E68">
        <v>4574</v>
      </c>
      <c r="F68" t="s">
        <v>11</v>
      </c>
      <c r="G68" t="s">
        <v>11</v>
      </c>
      <c r="H68" t="s">
        <v>12</v>
      </c>
      <c r="I68" t="s">
        <v>133</v>
      </c>
      <c r="J68" t="str">
        <f>HYPERLINK("https://portal.sunwardpharma.com/#/?id=204731&amp;&amp;type=latest", "Click Here")</f>
        <v>Click Here</v>
      </c>
    </row>
    <row r="69" spans="1:10" hidden="1" x14ac:dyDescent="0.3">
      <c r="A69" t="s">
        <v>111</v>
      </c>
      <c r="B69" t="s">
        <v>9</v>
      </c>
      <c r="C69" t="s">
        <v>112</v>
      </c>
      <c r="E69">
        <v>2012</v>
      </c>
      <c r="F69" t="s">
        <v>11</v>
      </c>
      <c r="G69" t="s">
        <v>11</v>
      </c>
      <c r="H69" t="s">
        <v>12</v>
      </c>
      <c r="I69" t="s">
        <v>107</v>
      </c>
      <c r="J69" t="str">
        <f>HYPERLINK("https://portal.sunwardpharma.com/#/?id=204732&amp;&amp;type=latest", "Click Here")</f>
        <v>Click Here</v>
      </c>
    </row>
    <row r="70" spans="1:10" hidden="1" x14ac:dyDescent="0.3">
      <c r="A70" t="s">
        <v>138</v>
      </c>
      <c r="B70" t="s">
        <v>9</v>
      </c>
      <c r="C70" t="s">
        <v>168</v>
      </c>
      <c r="E70">
        <v>4784</v>
      </c>
      <c r="F70" t="s">
        <v>11</v>
      </c>
      <c r="G70" t="s">
        <v>11</v>
      </c>
      <c r="H70" t="s">
        <v>12</v>
      </c>
      <c r="I70" t="s">
        <v>169</v>
      </c>
      <c r="J70" t="str">
        <f>HYPERLINK("https://portal.sunwardpharma.com/#/?id=204734&amp;&amp;type=latest", "Click Here")</f>
        <v>Click Here</v>
      </c>
    </row>
    <row r="71" spans="1:10" hidden="1" x14ac:dyDescent="0.3">
      <c r="A71" t="s">
        <v>117</v>
      </c>
      <c r="B71" t="s">
        <v>9</v>
      </c>
      <c r="C71" t="s">
        <v>118</v>
      </c>
      <c r="E71">
        <v>2184</v>
      </c>
      <c r="F71" t="s">
        <v>11</v>
      </c>
      <c r="G71" t="s">
        <v>11</v>
      </c>
      <c r="H71" t="s">
        <v>12</v>
      </c>
      <c r="I71" t="s">
        <v>107</v>
      </c>
      <c r="J71" t="str">
        <f>HYPERLINK("https://portal.sunwardpharma.com/#/?id=204735&amp;&amp;type=latest", "Click Here")</f>
        <v>Click Here</v>
      </c>
    </row>
    <row r="72" spans="1:10" hidden="1" x14ac:dyDescent="0.3">
      <c r="A72" t="s">
        <v>199</v>
      </c>
      <c r="B72" t="s">
        <v>9</v>
      </c>
      <c r="C72" t="s">
        <v>200</v>
      </c>
      <c r="E72">
        <v>1613</v>
      </c>
      <c r="F72" t="s">
        <v>11</v>
      </c>
      <c r="G72" t="s">
        <v>11</v>
      </c>
      <c r="H72" t="s">
        <v>12</v>
      </c>
      <c r="I72" t="s">
        <v>172</v>
      </c>
      <c r="J72" t="str">
        <f>HYPERLINK("https://portal.sunwardpharma.com/#/?id=204736&amp;&amp;type=latest", "Click Here")</f>
        <v>Click Here</v>
      </c>
    </row>
    <row r="73" spans="1:10" hidden="1" x14ac:dyDescent="0.3">
      <c r="A73" t="s">
        <v>274</v>
      </c>
      <c r="B73" t="s">
        <v>9</v>
      </c>
      <c r="C73" t="s">
        <v>275</v>
      </c>
      <c r="E73">
        <v>4259</v>
      </c>
      <c r="F73" t="s">
        <v>11</v>
      </c>
      <c r="G73" t="s">
        <v>11</v>
      </c>
      <c r="H73" t="s">
        <v>12</v>
      </c>
      <c r="I73" t="s">
        <v>207</v>
      </c>
      <c r="J73" t="str">
        <f>HYPERLINK("https://portal.sunwardpharma.com/#/?id=204737&amp;&amp;type=latest", "Click Here")</f>
        <v>Click Here</v>
      </c>
    </row>
    <row r="74" spans="1:10" hidden="1" x14ac:dyDescent="0.3">
      <c r="A74" t="s">
        <v>272</v>
      </c>
      <c r="B74" t="s">
        <v>9</v>
      </c>
      <c r="C74" t="s">
        <v>273</v>
      </c>
      <c r="E74">
        <v>3722</v>
      </c>
      <c r="F74" t="s">
        <v>11</v>
      </c>
      <c r="G74" t="s">
        <v>11</v>
      </c>
      <c r="H74" t="s">
        <v>12</v>
      </c>
      <c r="I74" t="s">
        <v>207</v>
      </c>
      <c r="J74" t="str">
        <f>HYPERLINK("https://portal.sunwardpharma.com/#/?id=204738&amp;&amp;type=latest", "Click Here")</f>
        <v>Click Here</v>
      </c>
    </row>
    <row r="75" spans="1:10" hidden="1" x14ac:dyDescent="0.3">
      <c r="A75" t="s">
        <v>193</v>
      </c>
      <c r="B75" t="s">
        <v>9</v>
      </c>
      <c r="C75" t="s">
        <v>194</v>
      </c>
      <c r="E75">
        <v>1173</v>
      </c>
      <c r="F75" t="s">
        <v>11</v>
      </c>
      <c r="G75" t="s">
        <v>11</v>
      </c>
      <c r="H75" t="s">
        <v>12</v>
      </c>
      <c r="I75" t="s">
        <v>172</v>
      </c>
      <c r="J75" t="str">
        <f>HYPERLINK("https://portal.sunwardpharma.com/#/?id=204739&amp;&amp;type=latest", "Click Here")</f>
        <v>Click Here</v>
      </c>
    </row>
    <row r="76" spans="1:10" hidden="1" x14ac:dyDescent="0.3">
      <c r="A76" t="s">
        <v>173</v>
      </c>
      <c r="B76" t="s">
        <v>9</v>
      </c>
      <c r="C76" t="s">
        <v>174</v>
      </c>
      <c r="E76">
        <v>1005</v>
      </c>
      <c r="F76" t="s">
        <v>11</v>
      </c>
      <c r="G76" t="s">
        <v>11</v>
      </c>
      <c r="H76" t="s">
        <v>12</v>
      </c>
      <c r="I76" t="s">
        <v>172</v>
      </c>
      <c r="J76" t="str">
        <f>HYPERLINK("https://portal.sunwardpharma.com/#/?id=204740&amp;&amp;type=latest", "Click Here")</f>
        <v>Click Here</v>
      </c>
    </row>
    <row r="77" spans="1:10" hidden="1" x14ac:dyDescent="0.3">
      <c r="A77" t="s">
        <v>195</v>
      </c>
      <c r="B77" t="s">
        <v>9</v>
      </c>
      <c r="C77" t="s">
        <v>196</v>
      </c>
      <c r="E77">
        <v>1051</v>
      </c>
      <c r="F77" t="s">
        <v>11</v>
      </c>
      <c r="G77" t="s">
        <v>11</v>
      </c>
      <c r="H77" t="s">
        <v>12</v>
      </c>
      <c r="I77" t="s">
        <v>172</v>
      </c>
      <c r="J77" t="str">
        <f>HYPERLINK("https://portal.sunwardpharma.com/#/?id=204741&amp;&amp;type=latest", "Click Here")</f>
        <v>Click Here</v>
      </c>
    </row>
    <row r="78" spans="1:10" hidden="1" x14ac:dyDescent="0.3">
      <c r="A78" t="s">
        <v>175</v>
      </c>
      <c r="B78" t="s">
        <v>9</v>
      </c>
      <c r="C78" t="s">
        <v>176</v>
      </c>
      <c r="E78">
        <v>1073</v>
      </c>
      <c r="F78" t="s">
        <v>11</v>
      </c>
      <c r="G78" t="s">
        <v>11</v>
      </c>
      <c r="H78" t="s">
        <v>12</v>
      </c>
      <c r="I78" t="s">
        <v>172</v>
      </c>
      <c r="J78" t="str">
        <f>HYPERLINK("https://portal.sunwardpharma.com/#/?id=204742&amp;&amp;type=latest", "Click Here")</f>
        <v>Click Here</v>
      </c>
    </row>
    <row r="79" spans="1:10" hidden="1" x14ac:dyDescent="0.3">
      <c r="A79" t="s">
        <v>185</v>
      </c>
      <c r="B79" t="s">
        <v>9</v>
      </c>
      <c r="C79" t="s">
        <v>186</v>
      </c>
      <c r="E79">
        <v>1055</v>
      </c>
      <c r="F79" t="s">
        <v>11</v>
      </c>
      <c r="G79" t="s">
        <v>11</v>
      </c>
      <c r="H79" t="s">
        <v>12</v>
      </c>
      <c r="I79" t="s">
        <v>172</v>
      </c>
      <c r="J79" t="str">
        <f>HYPERLINK("https://portal.sunwardpharma.com/#/?id=204743&amp;&amp;type=latest", "Click Here")</f>
        <v>Click Here</v>
      </c>
    </row>
    <row r="80" spans="1:10" hidden="1" x14ac:dyDescent="0.3">
      <c r="A80" t="s">
        <v>268</v>
      </c>
      <c r="B80" t="s">
        <v>9</v>
      </c>
      <c r="C80" t="s">
        <v>269</v>
      </c>
      <c r="E80">
        <v>3620</v>
      </c>
      <c r="F80" t="s">
        <v>11</v>
      </c>
      <c r="G80" t="s">
        <v>11</v>
      </c>
      <c r="H80" t="s">
        <v>12</v>
      </c>
      <c r="I80" t="s">
        <v>207</v>
      </c>
      <c r="J80" t="str">
        <f>HYPERLINK("https://portal.sunwardpharma.com/#/?id=204744&amp;&amp;type=latest", "Click Here")</f>
        <v>Click Here</v>
      </c>
    </row>
    <row r="81" spans="1:10" hidden="1" x14ac:dyDescent="0.3">
      <c r="A81" t="s">
        <v>276</v>
      </c>
      <c r="B81" t="s">
        <v>9</v>
      </c>
      <c r="C81" t="s">
        <v>277</v>
      </c>
      <c r="E81">
        <v>17613</v>
      </c>
      <c r="F81" t="s">
        <v>11</v>
      </c>
      <c r="G81" t="s">
        <v>11</v>
      </c>
      <c r="H81" t="s">
        <v>12</v>
      </c>
      <c r="I81" t="s">
        <v>207</v>
      </c>
      <c r="J81" t="str">
        <f>HYPERLINK("https://portal.sunwardpharma.com/#/?id=204745&amp;&amp;type=latest", "Click Here")</f>
        <v>Click Here</v>
      </c>
    </row>
    <row r="82" spans="1:10" hidden="1" x14ac:dyDescent="0.3">
      <c r="A82" t="s">
        <v>203</v>
      </c>
      <c r="B82" t="s">
        <v>9</v>
      </c>
      <c r="C82" t="s">
        <v>204</v>
      </c>
      <c r="E82">
        <v>2062</v>
      </c>
      <c r="F82" t="s">
        <v>11</v>
      </c>
      <c r="G82" t="s">
        <v>11</v>
      </c>
      <c r="H82" t="s">
        <v>12</v>
      </c>
      <c r="I82" t="s">
        <v>172</v>
      </c>
      <c r="J82" t="str">
        <f>HYPERLINK("https://portal.sunwardpharma.com/#/?id=204746&amp;&amp;type=latest", "Click Here")</f>
        <v>Click Here</v>
      </c>
    </row>
    <row r="83" spans="1:10" hidden="1" x14ac:dyDescent="0.3">
      <c r="A83" t="s">
        <v>177</v>
      </c>
      <c r="B83" t="s">
        <v>9</v>
      </c>
      <c r="C83" t="s">
        <v>178</v>
      </c>
      <c r="E83">
        <v>1083</v>
      </c>
      <c r="F83" t="s">
        <v>11</v>
      </c>
      <c r="G83" t="s">
        <v>11</v>
      </c>
      <c r="H83" t="s">
        <v>12</v>
      </c>
      <c r="I83" t="s">
        <v>172</v>
      </c>
      <c r="J83" t="str">
        <f>HYPERLINK("https://portal.sunwardpharma.com/#/?id=204747&amp;&amp;type=latest", "Click Here")</f>
        <v>Click Here</v>
      </c>
    </row>
    <row r="84" spans="1:10" hidden="1" x14ac:dyDescent="0.3">
      <c r="A84" t="s">
        <v>181</v>
      </c>
      <c r="B84" t="s">
        <v>9</v>
      </c>
      <c r="C84" t="s">
        <v>182</v>
      </c>
      <c r="E84">
        <v>1095</v>
      </c>
      <c r="F84" t="s">
        <v>11</v>
      </c>
      <c r="G84" t="s">
        <v>11</v>
      </c>
      <c r="H84" t="s">
        <v>12</v>
      </c>
      <c r="I84" t="s">
        <v>172</v>
      </c>
      <c r="J84" t="str">
        <f>HYPERLINK("https://portal.sunwardpharma.com/#/?id=204748&amp;&amp;type=latest", "Click Here")</f>
        <v>Click Here</v>
      </c>
    </row>
    <row r="85" spans="1:10" hidden="1" x14ac:dyDescent="0.3">
      <c r="A85" t="s">
        <v>189</v>
      </c>
      <c r="B85" t="s">
        <v>9</v>
      </c>
      <c r="C85" t="s">
        <v>190</v>
      </c>
      <c r="E85">
        <v>1096</v>
      </c>
      <c r="F85" t="s">
        <v>11</v>
      </c>
      <c r="G85" t="s">
        <v>11</v>
      </c>
      <c r="H85" t="s">
        <v>12</v>
      </c>
      <c r="I85" t="s">
        <v>172</v>
      </c>
      <c r="J85" t="str">
        <f>HYPERLINK("https://portal.sunwardpharma.com/#/?id=204749&amp;&amp;type=latest", "Click Here")</f>
        <v>Click Here</v>
      </c>
    </row>
    <row r="86" spans="1:10" hidden="1" x14ac:dyDescent="0.3">
      <c r="A86" t="s">
        <v>197</v>
      </c>
      <c r="B86" t="s">
        <v>9</v>
      </c>
      <c r="C86" t="s">
        <v>198</v>
      </c>
      <c r="E86">
        <v>1089</v>
      </c>
      <c r="F86" t="s">
        <v>11</v>
      </c>
      <c r="G86" t="s">
        <v>11</v>
      </c>
      <c r="H86" t="s">
        <v>12</v>
      </c>
      <c r="I86" t="s">
        <v>172</v>
      </c>
      <c r="J86" t="str">
        <f>HYPERLINK("https://portal.sunwardpharma.com/#/?id=203755&amp;&amp;type=latest", "Click Here")</f>
        <v>Click Here</v>
      </c>
    </row>
    <row r="87" spans="1:10" hidden="1" x14ac:dyDescent="0.3">
      <c r="A87" t="s">
        <v>187</v>
      </c>
      <c r="B87" t="s">
        <v>9</v>
      </c>
      <c r="C87" t="s">
        <v>188</v>
      </c>
      <c r="E87">
        <v>1087</v>
      </c>
      <c r="F87" t="s">
        <v>11</v>
      </c>
      <c r="G87" t="s">
        <v>11</v>
      </c>
      <c r="H87" t="s">
        <v>12</v>
      </c>
      <c r="I87" t="s">
        <v>172</v>
      </c>
      <c r="J87" t="str">
        <f>HYPERLINK("https://portal.sunwardpharma.com/#/?id=203756&amp;&amp;type=latest", "Click Here")</f>
        <v>Click Here</v>
      </c>
    </row>
    <row r="88" spans="1:10" hidden="1" x14ac:dyDescent="0.3">
      <c r="A88" t="s">
        <v>191</v>
      </c>
      <c r="B88" t="s">
        <v>9</v>
      </c>
      <c r="C88" t="s">
        <v>192</v>
      </c>
      <c r="E88">
        <v>1084</v>
      </c>
      <c r="F88" t="s">
        <v>11</v>
      </c>
      <c r="G88" t="s">
        <v>11</v>
      </c>
      <c r="H88" t="s">
        <v>12</v>
      </c>
      <c r="I88" t="s">
        <v>172</v>
      </c>
      <c r="J88" t="str">
        <f>HYPERLINK("https://portal.sunwardpharma.com/#/?id=203757&amp;&amp;type=latest", "Click Here")</f>
        <v>Click Here</v>
      </c>
    </row>
    <row r="89" spans="1:10" hidden="1" x14ac:dyDescent="0.3">
      <c r="A89" t="s">
        <v>170</v>
      </c>
      <c r="B89" t="s">
        <v>9</v>
      </c>
      <c r="C89" t="s">
        <v>171</v>
      </c>
      <c r="E89">
        <v>830</v>
      </c>
      <c r="F89" t="s">
        <v>11</v>
      </c>
      <c r="G89" t="s">
        <v>11</v>
      </c>
      <c r="H89" t="s">
        <v>12</v>
      </c>
      <c r="I89" t="s">
        <v>172</v>
      </c>
      <c r="J89" t="str">
        <f>HYPERLINK("https://portal.sunwardpharma.com/#/?id=203758&amp;&amp;type=latest", "Click Here")</f>
        <v>Click Here</v>
      </c>
    </row>
    <row r="90" spans="1:10" hidden="1" x14ac:dyDescent="0.3">
      <c r="A90" t="s">
        <v>183</v>
      </c>
      <c r="B90" t="s">
        <v>9</v>
      </c>
      <c r="C90" t="s">
        <v>184</v>
      </c>
      <c r="E90">
        <v>1092</v>
      </c>
      <c r="F90" t="s">
        <v>11</v>
      </c>
      <c r="G90" t="s">
        <v>11</v>
      </c>
      <c r="H90" t="s">
        <v>12</v>
      </c>
      <c r="I90" t="s">
        <v>172</v>
      </c>
      <c r="J90" t="str">
        <f>HYPERLINK("https://portal.sunwardpharma.com/#/?id=203759&amp;&amp;type=latest", "Click Here")</f>
        <v>Click Here</v>
      </c>
    </row>
    <row r="91" spans="1:10" hidden="1" x14ac:dyDescent="0.3">
      <c r="A91" t="s">
        <v>179</v>
      </c>
      <c r="B91" t="s">
        <v>9</v>
      </c>
      <c r="C91" t="s">
        <v>180</v>
      </c>
      <c r="E91">
        <v>1087</v>
      </c>
      <c r="F91" t="s">
        <v>11</v>
      </c>
      <c r="G91" t="s">
        <v>11</v>
      </c>
      <c r="H91" t="s">
        <v>12</v>
      </c>
      <c r="I91" t="s">
        <v>172</v>
      </c>
      <c r="J91" t="str">
        <f>HYPERLINK("https://portal.sunwardpharma.com/#/?id=203760&amp;&amp;type=latest", "Click Here")</f>
        <v>Click Here</v>
      </c>
    </row>
    <row r="92" spans="1:10" hidden="1" x14ac:dyDescent="0.3">
      <c r="A92" t="s">
        <v>260</v>
      </c>
      <c r="B92" t="s">
        <v>9</v>
      </c>
      <c r="C92" t="s">
        <v>261</v>
      </c>
      <c r="E92">
        <v>3444</v>
      </c>
      <c r="F92" t="s">
        <v>11</v>
      </c>
      <c r="G92" t="s">
        <v>11</v>
      </c>
      <c r="H92" t="s">
        <v>12</v>
      </c>
      <c r="I92" t="s">
        <v>207</v>
      </c>
      <c r="J92" t="str">
        <f>HYPERLINK("https://portal.sunwardpharma.com/#/?id=203761&amp;&amp;type=latest", "Click Here")</f>
        <v>Click Here</v>
      </c>
    </row>
    <row r="93" spans="1:10" hidden="1" x14ac:dyDescent="0.3">
      <c r="A93" t="s">
        <v>270</v>
      </c>
      <c r="B93" t="s">
        <v>9</v>
      </c>
      <c r="C93" t="s">
        <v>271</v>
      </c>
      <c r="E93">
        <v>3558</v>
      </c>
      <c r="F93" t="s">
        <v>11</v>
      </c>
      <c r="G93" t="s">
        <v>11</v>
      </c>
      <c r="H93" t="s">
        <v>12</v>
      </c>
      <c r="I93" t="s">
        <v>207</v>
      </c>
      <c r="J93" t="str">
        <f>HYPERLINK("https://portal.sunwardpharma.com/#/?id=203762&amp;&amp;type=latest", "Click Here")</f>
        <v>Click Here</v>
      </c>
    </row>
    <row r="94" spans="1:10" hidden="1" x14ac:dyDescent="0.3">
      <c r="A94" t="s">
        <v>258</v>
      </c>
      <c r="B94" t="s">
        <v>9</v>
      </c>
      <c r="C94" t="s">
        <v>259</v>
      </c>
      <c r="E94">
        <v>3069</v>
      </c>
      <c r="F94" t="s">
        <v>11</v>
      </c>
      <c r="G94" t="s">
        <v>11</v>
      </c>
      <c r="H94" t="s">
        <v>12</v>
      </c>
      <c r="I94" t="s">
        <v>207</v>
      </c>
      <c r="J94" t="str">
        <f>HYPERLINK("https://portal.sunwardpharma.com/#/?id=203763&amp;&amp;type=latest", "Click Here")</f>
        <v>Click Here</v>
      </c>
    </row>
    <row r="95" spans="1:10" hidden="1" x14ac:dyDescent="0.3">
      <c r="A95" t="s">
        <v>210</v>
      </c>
      <c r="B95" t="s">
        <v>9</v>
      </c>
      <c r="C95" t="s">
        <v>211</v>
      </c>
      <c r="E95">
        <v>3092</v>
      </c>
      <c r="F95" t="s">
        <v>11</v>
      </c>
      <c r="G95" t="s">
        <v>11</v>
      </c>
      <c r="H95" t="s">
        <v>12</v>
      </c>
      <c r="I95" t="s">
        <v>207</v>
      </c>
      <c r="J95" t="str">
        <f>HYPERLINK("https://portal.sunwardpharma.com/#/?id=203764&amp;&amp;type=latest", "Click Here")</f>
        <v>Click Here</v>
      </c>
    </row>
    <row r="96" spans="1:10" hidden="1" x14ac:dyDescent="0.3">
      <c r="A96" t="s">
        <v>208</v>
      </c>
      <c r="B96" t="s">
        <v>9</v>
      </c>
      <c r="C96" t="s">
        <v>209</v>
      </c>
      <c r="E96">
        <v>3181</v>
      </c>
      <c r="F96" t="s">
        <v>11</v>
      </c>
      <c r="G96" t="s">
        <v>11</v>
      </c>
      <c r="H96" t="s">
        <v>12</v>
      </c>
      <c r="I96" t="s">
        <v>207</v>
      </c>
      <c r="J96" t="str">
        <f>HYPERLINK("https://portal.sunwardpharma.com/#/?id=203765&amp;&amp;type=latest", "Click Here")</f>
        <v>Click Here</v>
      </c>
    </row>
    <row r="97" spans="1:10" hidden="1" x14ac:dyDescent="0.3">
      <c r="A97" t="s">
        <v>266</v>
      </c>
      <c r="B97" t="s">
        <v>9</v>
      </c>
      <c r="C97" t="s">
        <v>267</v>
      </c>
      <c r="E97">
        <v>3229</v>
      </c>
      <c r="F97" t="s">
        <v>11</v>
      </c>
      <c r="G97" t="s">
        <v>11</v>
      </c>
      <c r="H97" t="s">
        <v>12</v>
      </c>
      <c r="I97" t="s">
        <v>207</v>
      </c>
      <c r="J97" t="str">
        <f>HYPERLINK("https://portal.sunwardpharma.com/#/?id=203766&amp;&amp;type=latest", "Click Here")</f>
        <v>Click Here</v>
      </c>
    </row>
    <row r="98" spans="1:10" hidden="1" x14ac:dyDescent="0.3">
      <c r="A98" t="s">
        <v>264</v>
      </c>
      <c r="B98" t="s">
        <v>9</v>
      </c>
      <c r="C98" t="s">
        <v>265</v>
      </c>
      <c r="E98">
        <v>3085</v>
      </c>
      <c r="F98" t="s">
        <v>11</v>
      </c>
      <c r="G98" t="s">
        <v>11</v>
      </c>
      <c r="H98" t="s">
        <v>12</v>
      </c>
      <c r="I98" t="s">
        <v>207</v>
      </c>
      <c r="J98" t="str">
        <f>HYPERLINK("https://portal.sunwardpharma.com/#/?id=203767&amp;&amp;type=latest", "Click Here")</f>
        <v>Click Here</v>
      </c>
    </row>
    <row r="99" spans="1:10" hidden="1" x14ac:dyDescent="0.3">
      <c r="A99" t="s">
        <v>205</v>
      </c>
      <c r="B99" t="s">
        <v>9</v>
      </c>
      <c r="C99" t="s">
        <v>206</v>
      </c>
      <c r="E99">
        <v>3015</v>
      </c>
      <c r="F99" t="s">
        <v>11</v>
      </c>
      <c r="G99" t="s">
        <v>11</v>
      </c>
      <c r="H99" t="s">
        <v>12</v>
      </c>
      <c r="I99" t="s">
        <v>207</v>
      </c>
      <c r="J99" t="str">
        <f>HYPERLINK("https://portal.sunwardpharma.com/#/?id=203768&amp;&amp;type=latest", "Click Here")</f>
        <v>Click Here</v>
      </c>
    </row>
    <row r="100" spans="1:10" hidden="1" x14ac:dyDescent="0.3">
      <c r="A100" t="s">
        <v>262</v>
      </c>
      <c r="B100" t="s">
        <v>9</v>
      </c>
      <c r="C100" t="s">
        <v>263</v>
      </c>
      <c r="E100">
        <v>3001</v>
      </c>
      <c r="F100" t="s">
        <v>11</v>
      </c>
      <c r="G100" t="s">
        <v>11</v>
      </c>
      <c r="H100" t="s">
        <v>12</v>
      </c>
      <c r="I100" t="s">
        <v>207</v>
      </c>
      <c r="J100" t="str">
        <f>HYPERLINK("https://portal.sunwardpharma.com/#/?id=203769&amp;&amp;type=latest", "Click Here")</f>
        <v>Click Here</v>
      </c>
    </row>
    <row r="101" spans="1:10" hidden="1" x14ac:dyDescent="0.3">
      <c r="A101" t="s">
        <v>201</v>
      </c>
      <c r="B101" t="s">
        <v>9</v>
      </c>
      <c r="C101" t="s">
        <v>202</v>
      </c>
      <c r="E101">
        <v>1743</v>
      </c>
      <c r="F101" t="s">
        <v>11</v>
      </c>
      <c r="G101" t="s">
        <v>11</v>
      </c>
      <c r="H101" t="s">
        <v>12</v>
      </c>
      <c r="I101" t="s">
        <v>172</v>
      </c>
      <c r="J101" t="str">
        <f>HYPERLINK("https://portal.sunwardpharma.com/#/?id=203770&amp;&amp;type=latest", "Click Here")</f>
        <v>Click Here</v>
      </c>
    </row>
    <row r="102" spans="1:10" hidden="1" x14ac:dyDescent="0.3">
      <c r="A102" t="s">
        <v>327</v>
      </c>
      <c r="B102" t="s">
        <v>9</v>
      </c>
      <c r="C102" t="s">
        <v>328</v>
      </c>
      <c r="E102">
        <v>4514</v>
      </c>
      <c r="F102" t="s">
        <v>11</v>
      </c>
      <c r="G102" t="s">
        <v>11</v>
      </c>
      <c r="H102" t="s">
        <v>12</v>
      </c>
      <c r="I102" t="s">
        <v>326</v>
      </c>
      <c r="J102" t="str">
        <f>HYPERLINK("https://portal.sunwardpharma.com/#/?id=203771&amp;&amp;type=latest", "Click Here")</f>
        <v>Click Here</v>
      </c>
    </row>
    <row r="103" spans="1:10" hidden="1" x14ac:dyDescent="0.3">
      <c r="A103" t="s">
        <v>329</v>
      </c>
      <c r="B103" t="s">
        <v>9</v>
      </c>
      <c r="C103" t="s">
        <v>330</v>
      </c>
      <c r="E103">
        <v>4713</v>
      </c>
      <c r="F103" t="s">
        <v>11</v>
      </c>
      <c r="G103" t="s">
        <v>11</v>
      </c>
      <c r="H103" t="s">
        <v>12</v>
      </c>
      <c r="I103" t="s">
        <v>326</v>
      </c>
      <c r="J103" t="str">
        <f>HYPERLINK("https://portal.sunwardpharma.com/#/?id=203772&amp;&amp;type=latest", "Click Here")</f>
        <v>Click Here</v>
      </c>
    </row>
    <row r="104" spans="1:10" hidden="1" x14ac:dyDescent="0.3">
      <c r="A104" t="s">
        <v>316</v>
      </c>
      <c r="B104" t="s">
        <v>9</v>
      </c>
      <c r="C104" t="s">
        <v>317</v>
      </c>
      <c r="E104">
        <v>3223</v>
      </c>
      <c r="F104" t="s">
        <v>11</v>
      </c>
      <c r="G104" t="s">
        <v>11</v>
      </c>
      <c r="H104" t="s">
        <v>12</v>
      </c>
      <c r="I104" t="s">
        <v>283</v>
      </c>
      <c r="J104" t="str">
        <f>HYPERLINK("https://portal.sunwardpharma.com/#/?id=203773&amp;&amp;type=latest", "Click Here")</f>
        <v>Click Here</v>
      </c>
    </row>
    <row r="105" spans="1:10" hidden="1" x14ac:dyDescent="0.3">
      <c r="A105" t="s">
        <v>300</v>
      </c>
      <c r="B105" t="s">
        <v>9</v>
      </c>
      <c r="C105" t="s">
        <v>301</v>
      </c>
      <c r="E105">
        <v>3091</v>
      </c>
      <c r="F105" t="s">
        <v>11</v>
      </c>
      <c r="G105" t="s">
        <v>11</v>
      </c>
      <c r="H105" t="s">
        <v>12</v>
      </c>
      <c r="I105" t="s">
        <v>283</v>
      </c>
      <c r="J105" t="str">
        <f>HYPERLINK("https://portal.sunwardpharma.com/#/?id=203774&amp;&amp;type=latest", "Click Here")</f>
        <v>Click Here</v>
      </c>
    </row>
    <row r="106" spans="1:10" hidden="1" x14ac:dyDescent="0.3">
      <c r="A106" t="s">
        <v>312</v>
      </c>
      <c r="B106" t="s">
        <v>9</v>
      </c>
      <c r="C106" t="s">
        <v>313</v>
      </c>
      <c r="E106">
        <v>3198</v>
      </c>
      <c r="F106" t="s">
        <v>11</v>
      </c>
      <c r="G106" t="s">
        <v>11</v>
      </c>
      <c r="H106" t="s">
        <v>12</v>
      </c>
      <c r="I106" t="s">
        <v>283</v>
      </c>
      <c r="J106" t="str">
        <f>HYPERLINK("https://portal.sunwardpharma.com/#/?id=203775&amp;&amp;type=latest", "Click Here")</f>
        <v>Click Here</v>
      </c>
    </row>
    <row r="107" spans="1:10" hidden="1" x14ac:dyDescent="0.3">
      <c r="A107" t="s">
        <v>333</v>
      </c>
      <c r="B107" t="s">
        <v>9</v>
      </c>
      <c r="C107" t="s">
        <v>334</v>
      </c>
      <c r="E107">
        <v>6364</v>
      </c>
      <c r="F107" t="s">
        <v>11</v>
      </c>
      <c r="G107" t="s">
        <v>11</v>
      </c>
      <c r="H107" t="s">
        <v>12</v>
      </c>
      <c r="I107" t="s">
        <v>326</v>
      </c>
      <c r="J107" t="str">
        <f>HYPERLINK("https://portal.sunwardpharma.com/#/?id=203776&amp;&amp;type=latest", "Click Here")</f>
        <v>Click Here</v>
      </c>
    </row>
    <row r="108" spans="1:10" hidden="1" x14ac:dyDescent="0.3">
      <c r="A108" t="s">
        <v>302</v>
      </c>
      <c r="B108" t="s">
        <v>9</v>
      </c>
      <c r="C108" t="s">
        <v>303</v>
      </c>
      <c r="E108">
        <v>3106</v>
      </c>
      <c r="F108" t="s">
        <v>11</v>
      </c>
      <c r="G108" t="s">
        <v>11</v>
      </c>
      <c r="H108" t="s">
        <v>12</v>
      </c>
      <c r="I108" t="s">
        <v>283</v>
      </c>
      <c r="J108" t="str">
        <f>HYPERLINK("https://portal.sunwardpharma.com/#/?id=10054&amp;&amp;type=latest", "Click Here")</f>
        <v>Click Here</v>
      </c>
    </row>
    <row r="109" spans="1:10" hidden="1" x14ac:dyDescent="0.3">
      <c r="A109" t="s">
        <v>294</v>
      </c>
      <c r="B109" t="s">
        <v>9</v>
      </c>
      <c r="C109" t="s">
        <v>295</v>
      </c>
      <c r="E109">
        <v>2675</v>
      </c>
      <c r="F109" t="s">
        <v>11</v>
      </c>
      <c r="G109" t="s">
        <v>11</v>
      </c>
      <c r="H109" t="s">
        <v>12</v>
      </c>
      <c r="I109" t="s">
        <v>283</v>
      </c>
      <c r="J109" t="str">
        <f>HYPERLINK("https://portal.sunwardpharma.com/#/?id=10060&amp;&amp;type=latest", "Click Here")</f>
        <v>Click Here</v>
      </c>
    </row>
    <row r="110" spans="1:10" hidden="1" x14ac:dyDescent="0.3">
      <c r="A110" t="s">
        <v>331</v>
      </c>
      <c r="B110" t="s">
        <v>9</v>
      </c>
      <c r="C110" t="s">
        <v>332</v>
      </c>
      <c r="E110">
        <v>4847</v>
      </c>
      <c r="F110" t="s">
        <v>11</v>
      </c>
      <c r="G110" t="s">
        <v>11</v>
      </c>
      <c r="H110" t="s">
        <v>12</v>
      </c>
      <c r="I110" t="s">
        <v>326</v>
      </c>
      <c r="J110" t="str">
        <f>HYPERLINK("https://portal.sunwardpharma.com/#/?id=10061&amp;&amp;type=latest", "Click Here")</f>
        <v>Click Here</v>
      </c>
    </row>
    <row r="111" spans="1:10" hidden="1" x14ac:dyDescent="0.3">
      <c r="A111" t="s">
        <v>292</v>
      </c>
      <c r="B111" t="s">
        <v>9</v>
      </c>
      <c r="C111" t="s">
        <v>293</v>
      </c>
      <c r="E111">
        <v>2475</v>
      </c>
      <c r="F111" t="s">
        <v>11</v>
      </c>
      <c r="G111" t="s">
        <v>11</v>
      </c>
      <c r="H111" t="s">
        <v>12</v>
      </c>
      <c r="I111" t="s">
        <v>283</v>
      </c>
      <c r="J111" t="str">
        <f>HYPERLINK("https://portal.sunwardpharma.com/#/?id=10096&amp;&amp;type=latest", "Click Here")</f>
        <v>Click Here</v>
      </c>
    </row>
    <row r="112" spans="1:10" hidden="1" x14ac:dyDescent="0.3">
      <c r="A112" t="s">
        <v>304</v>
      </c>
      <c r="B112" t="s">
        <v>9</v>
      </c>
      <c r="C112" t="s">
        <v>305</v>
      </c>
      <c r="E112">
        <v>3011</v>
      </c>
      <c r="F112" t="s">
        <v>11</v>
      </c>
      <c r="G112" t="s">
        <v>11</v>
      </c>
      <c r="H112" t="s">
        <v>12</v>
      </c>
      <c r="I112" t="s">
        <v>283</v>
      </c>
      <c r="J112" t="str">
        <f>HYPERLINK("https://portal.sunwardpharma.com/#/?id=10100&amp;&amp;type=latest", "Click Here")</f>
        <v>Click Here</v>
      </c>
    </row>
    <row r="113" spans="1:10" hidden="1" x14ac:dyDescent="0.3">
      <c r="A113" t="s">
        <v>281</v>
      </c>
      <c r="B113" t="s">
        <v>9</v>
      </c>
      <c r="C113" t="s">
        <v>282</v>
      </c>
      <c r="E113">
        <v>1842</v>
      </c>
      <c r="F113" t="s">
        <v>11</v>
      </c>
      <c r="G113" t="s">
        <v>11</v>
      </c>
      <c r="H113" t="s">
        <v>12</v>
      </c>
      <c r="I113" t="s">
        <v>283</v>
      </c>
      <c r="J113" t="str">
        <f>HYPERLINK("https://portal.sunwardpharma.com/#/?id=10116&amp;&amp;type=latest", "Click Here")</f>
        <v>Click Here</v>
      </c>
    </row>
    <row r="114" spans="1:10" hidden="1" x14ac:dyDescent="0.3">
      <c r="A114" t="s">
        <v>286</v>
      </c>
      <c r="B114" t="s">
        <v>9</v>
      </c>
      <c r="C114" t="s">
        <v>287</v>
      </c>
      <c r="E114">
        <v>1912</v>
      </c>
      <c r="F114" t="s">
        <v>11</v>
      </c>
      <c r="G114" t="s">
        <v>11</v>
      </c>
      <c r="H114" t="s">
        <v>12</v>
      </c>
      <c r="I114" t="s">
        <v>283</v>
      </c>
      <c r="J114" t="str">
        <f>HYPERLINK("https://portal.sunwardpharma.com/#/?id=10117&amp;&amp;type=latest", "Click Here")</f>
        <v>Click Here</v>
      </c>
    </row>
    <row r="115" spans="1:10" hidden="1" x14ac:dyDescent="0.3">
      <c r="A115" t="s">
        <v>284</v>
      </c>
      <c r="B115" t="s">
        <v>9</v>
      </c>
      <c r="C115" t="s">
        <v>285</v>
      </c>
      <c r="E115">
        <v>1851</v>
      </c>
      <c r="F115" t="s">
        <v>11</v>
      </c>
      <c r="G115" t="s">
        <v>11</v>
      </c>
      <c r="H115" t="s">
        <v>12</v>
      </c>
      <c r="I115" t="s">
        <v>283</v>
      </c>
      <c r="J115" t="str">
        <f>HYPERLINK("https://portal.sunwardpharma.com/#/?id=10118&amp;&amp;type=latest", "Click Here")</f>
        <v>Click Here</v>
      </c>
    </row>
    <row r="116" spans="1:10" hidden="1" x14ac:dyDescent="0.3">
      <c r="A116" t="s">
        <v>335</v>
      </c>
      <c r="B116" t="s">
        <v>9</v>
      </c>
      <c r="C116" t="s">
        <v>336</v>
      </c>
      <c r="E116">
        <v>7093</v>
      </c>
      <c r="F116" t="s">
        <v>11</v>
      </c>
      <c r="G116" t="s">
        <v>11</v>
      </c>
      <c r="H116" t="s">
        <v>12</v>
      </c>
      <c r="I116" t="s">
        <v>326</v>
      </c>
      <c r="J116" t="str">
        <f>HYPERLINK("https://portal.sunwardpharma.com/#/?id=10119&amp;&amp;type=latest", "Click Here")</f>
        <v>Click Here</v>
      </c>
    </row>
    <row r="117" spans="1:10" hidden="1" x14ac:dyDescent="0.3">
      <c r="A117" t="s">
        <v>339</v>
      </c>
      <c r="B117" t="s">
        <v>9</v>
      </c>
      <c r="C117" t="s">
        <v>340</v>
      </c>
      <c r="E117">
        <v>17417</v>
      </c>
      <c r="F117" t="s">
        <v>11</v>
      </c>
      <c r="G117" t="s">
        <v>11</v>
      </c>
      <c r="H117" t="s">
        <v>12</v>
      </c>
      <c r="I117" t="s">
        <v>326</v>
      </c>
      <c r="J117" t="str">
        <f>HYPERLINK("https://portal.sunwardpharma.com/#/?id=13931&amp;&amp;type=latest", "Click Here")</f>
        <v>Click Here</v>
      </c>
    </row>
    <row r="118" spans="1:10" hidden="1" x14ac:dyDescent="0.3">
      <c r="A118" t="s">
        <v>337</v>
      </c>
      <c r="B118" t="s">
        <v>9</v>
      </c>
      <c r="C118" t="s">
        <v>338</v>
      </c>
      <c r="E118">
        <v>14190</v>
      </c>
      <c r="F118" t="s">
        <v>11</v>
      </c>
      <c r="G118" t="s">
        <v>11</v>
      </c>
      <c r="H118" t="s">
        <v>12</v>
      </c>
      <c r="I118" t="s">
        <v>326</v>
      </c>
      <c r="J118" t="str">
        <f>HYPERLINK("https://portal.sunwardpharma.com/#/?id=13933&amp;&amp;type=latest", "Click Here")</f>
        <v>Click Here</v>
      </c>
    </row>
    <row r="119" spans="1:10" hidden="1" x14ac:dyDescent="0.3">
      <c r="A119" t="s">
        <v>298</v>
      </c>
      <c r="B119" t="s">
        <v>9</v>
      </c>
      <c r="C119" t="s">
        <v>299</v>
      </c>
      <c r="E119">
        <v>2837</v>
      </c>
      <c r="F119" t="s">
        <v>11</v>
      </c>
      <c r="G119" t="s">
        <v>11</v>
      </c>
      <c r="H119" t="s">
        <v>12</v>
      </c>
      <c r="I119" t="s">
        <v>283</v>
      </c>
      <c r="J119" t="str">
        <f>HYPERLINK("https://portal.sunwardpharma.com/#/?id=13935&amp;&amp;type=latest", "Click Here")</f>
        <v>Click Here</v>
      </c>
    </row>
    <row r="120" spans="1:10" hidden="1" x14ac:dyDescent="0.3">
      <c r="A120" t="s">
        <v>310</v>
      </c>
      <c r="B120" t="s">
        <v>9</v>
      </c>
      <c r="C120" t="s">
        <v>311</v>
      </c>
      <c r="E120">
        <v>3082</v>
      </c>
      <c r="F120" t="s">
        <v>11</v>
      </c>
      <c r="G120" t="s">
        <v>11</v>
      </c>
      <c r="H120" t="s">
        <v>12</v>
      </c>
      <c r="I120" t="s">
        <v>283</v>
      </c>
      <c r="J120" t="str">
        <f>HYPERLINK("https://portal.sunwardpharma.com/#/?id=13937&amp;&amp;type=latest", "Click Here")</f>
        <v>Click Here</v>
      </c>
    </row>
    <row r="121" spans="1:10" hidden="1" x14ac:dyDescent="0.3">
      <c r="A121" t="s">
        <v>314</v>
      </c>
      <c r="B121" t="s">
        <v>9</v>
      </c>
      <c r="C121" t="s">
        <v>315</v>
      </c>
      <c r="E121">
        <v>3176</v>
      </c>
      <c r="F121" t="s">
        <v>11</v>
      </c>
      <c r="G121" t="s">
        <v>11</v>
      </c>
      <c r="H121" t="s">
        <v>12</v>
      </c>
      <c r="I121" t="s">
        <v>283</v>
      </c>
      <c r="J121" t="str">
        <f>HYPERLINK("https://portal.sunwardpharma.com/#/?id=13938&amp;&amp;type=latest", "Click Here")</f>
        <v>Click Here</v>
      </c>
    </row>
    <row r="122" spans="1:10" hidden="1" x14ac:dyDescent="0.3">
      <c r="A122" t="s">
        <v>296</v>
      </c>
      <c r="B122" t="s">
        <v>9</v>
      </c>
      <c r="C122" t="s">
        <v>297</v>
      </c>
      <c r="E122">
        <v>2830</v>
      </c>
      <c r="F122" t="s">
        <v>11</v>
      </c>
      <c r="G122" t="s">
        <v>11</v>
      </c>
      <c r="H122" t="s">
        <v>12</v>
      </c>
      <c r="I122" t="s">
        <v>283</v>
      </c>
      <c r="J122" t="str">
        <f>HYPERLINK("https://portal.sunwardpharma.com/#/?id=13939&amp;&amp;type=latest", "Click Here")</f>
        <v>Click Here</v>
      </c>
    </row>
    <row r="123" spans="1:10" hidden="1" x14ac:dyDescent="0.3">
      <c r="A123" t="s">
        <v>308</v>
      </c>
      <c r="B123" t="s">
        <v>9</v>
      </c>
      <c r="C123" t="s">
        <v>309</v>
      </c>
      <c r="E123">
        <v>3003</v>
      </c>
      <c r="F123" t="s">
        <v>11</v>
      </c>
      <c r="G123" t="s">
        <v>11</v>
      </c>
      <c r="H123" t="s">
        <v>12</v>
      </c>
      <c r="I123" t="s">
        <v>283</v>
      </c>
      <c r="J123" t="str">
        <f>HYPERLINK("https://portal.sunwardpharma.com/#/?id=64736&amp;&amp;type=latest", "Click Here")</f>
        <v>Click Here</v>
      </c>
    </row>
    <row r="124" spans="1:10" hidden="1" x14ac:dyDescent="0.3">
      <c r="A124" t="s">
        <v>320</v>
      </c>
      <c r="B124" t="s">
        <v>9</v>
      </c>
      <c r="C124" t="s">
        <v>321</v>
      </c>
      <c r="E124">
        <v>3380</v>
      </c>
      <c r="F124" t="s">
        <v>11</v>
      </c>
      <c r="G124" t="s">
        <v>11</v>
      </c>
      <c r="H124" t="s">
        <v>12</v>
      </c>
      <c r="I124" t="s">
        <v>283</v>
      </c>
      <c r="J124" t="str">
        <f>HYPERLINK("https://portal.sunwardpharma.com/#/?id=203777&amp;&amp;type=latest", "Click Here")</f>
        <v>Click Here</v>
      </c>
    </row>
    <row r="125" spans="1:10" hidden="1" x14ac:dyDescent="0.3">
      <c r="A125" t="s">
        <v>306</v>
      </c>
      <c r="B125" t="s">
        <v>9</v>
      </c>
      <c r="C125" t="s">
        <v>307</v>
      </c>
      <c r="E125">
        <v>3037</v>
      </c>
      <c r="F125" t="s">
        <v>11</v>
      </c>
      <c r="G125" t="s">
        <v>11</v>
      </c>
      <c r="H125" t="s">
        <v>12</v>
      </c>
      <c r="I125" t="s">
        <v>283</v>
      </c>
      <c r="J125" t="str">
        <f>HYPERLINK("https://portal.sunwardpharma.com/#/?id=203778&amp;&amp;type=latest", "Click Here")</f>
        <v>Click Here</v>
      </c>
    </row>
    <row r="126" spans="1:10" hidden="1" x14ac:dyDescent="0.3">
      <c r="A126" t="s">
        <v>290</v>
      </c>
      <c r="B126" t="s">
        <v>9</v>
      </c>
      <c r="C126" t="s">
        <v>291</v>
      </c>
      <c r="E126">
        <v>1793</v>
      </c>
      <c r="F126" t="s">
        <v>11</v>
      </c>
      <c r="G126" t="s">
        <v>11</v>
      </c>
      <c r="H126" t="s">
        <v>12</v>
      </c>
      <c r="I126" t="s">
        <v>283</v>
      </c>
      <c r="J126" t="str">
        <f>HYPERLINK("https://portal.sunwardpharma.com/#/?id=203779&amp;&amp;type=latest", "Click Here")</f>
        <v>Click Here</v>
      </c>
    </row>
    <row r="127" spans="1:10" hidden="1" x14ac:dyDescent="0.3">
      <c r="A127" t="s">
        <v>288</v>
      </c>
      <c r="B127" t="s">
        <v>9</v>
      </c>
      <c r="C127" t="s">
        <v>289</v>
      </c>
      <c r="E127">
        <v>1828</v>
      </c>
      <c r="F127" t="s">
        <v>11</v>
      </c>
      <c r="G127" t="s">
        <v>11</v>
      </c>
      <c r="H127" t="s">
        <v>12</v>
      </c>
      <c r="I127" t="s">
        <v>283</v>
      </c>
      <c r="J127" t="str">
        <f>HYPERLINK("https://portal.sunwardpharma.com/#/?id=203780&amp;&amp;type=latest", "Click Here")</f>
        <v>Click Here</v>
      </c>
    </row>
    <row r="128" spans="1:10" hidden="1" x14ac:dyDescent="0.3">
      <c r="A128" t="s">
        <v>322</v>
      </c>
      <c r="B128" t="s">
        <v>9</v>
      </c>
      <c r="C128" t="s">
        <v>323</v>
      </c>
      <c r="E128">
        <v>3381</v>
      </c>
      <c r="F128" t="s">
        <v>11</v>
      </c>
      <c r="G128" t="s">
        <v>11</v>
      </c>
      <c r="H128" t="s">
        <v>12</v>
      </c>
      <c r="I128" t="s">
        <v>283</v>
      </c>
      <c r="J128" t="str">
        <f>HYPERLINK("https://portal.sunwardpharma.com/#/?id=203781&amp;&amp;type=latest", "Click Here")</f>
        <v>Click Here</v>
      </c>
    </row>
    <row r="129" spans="1:10" hidden="1" x14ac:dyDescent="0.3">
      <c r="A129" t="s">
        <v>324</v>
      </c>
      <c r="B129" t="s">
        <v>9</v>
      </c>
      <c r="C129" t="s">
        <v>325</v>
      </c>
      <c r="E129">
        <v>3364</v>
      </c>
      <c r="F129" t="s">
        <v>11</v>
      </c>
      <c r="G129" t="s">
        <v>11</v>
      </c>
      <c r="H129" t="s">
        <v>12</v>
      </c>
      <c r="I129" t="s">
        <v>326</v>
      </c>
      <c r="J129" t="str">
        <f>HYPERLINK("https://portal.sunwardpharma.com/#/?id=203782&amp;&amp;type=latest", "Click Here")</f>
        <v>Click Here</v>
      </c>
    </row>
    <row r="130" spans="1:10" hidden="1" x14ac:dyDescent="0.3">
      <c r="A130" t="s">
        <v>318</v>
      </c>
      <c r="B130" t="s">
        <v>9</v>
      </c>
      <c r="C130" t="s">
        <v>319</v>
      </c>
      <c r="E130">
        <v>3332</v>
      </c>
      <c r="F130" t="s">
        <v>11</v>
      </c>
      <c r="G130" t="s">
        <v>11</v>
      </c>
      <c r="H130" t="s">
        <v>12</v>
      </c>
      <c r="I130" t="s">
        <v>283</v>
      </c>
      <c r="J130" t="str">
        <f>HYPERLINK("https://portal.sunwardpharma.com/#/?id=203783&amp;&amp;type=latest", "Click Here")</f>
        <v>Click Here</v>
      </c>
    </row>
    <row r="131" spans="1:10" hidden="1" x14ac:dyDescent="0.3">
      <c r="A131" t="s">
        <v>278</v>
      </c>
      <c r="B131" t="s">
        <v>9</v>
      </c>
      <c r="C131" t="s">
        <v>279</v>
      </c>
      <c r="E131">
        <v>1237</v>
      </c>
      <c r="F131" t="s">
        <v>11</v>
      </c>
      <c r="G131" t="s">
        <v>11</v>
      </c>
      <c r="H131" t="s">
        <v>12</v>
      </c>
      <c r="I131" t="s">
        <v>280</v>
      </c>
      <c r="J131" t="str">
        <f>HYPERLINK("https://portal.sunwardpharma.com/#/?id=203784&amp;&amp;type=latest", "Click Here")</f>
        <v>Click Here</v>
      </c>
    </row>
    <row r="132" spans="1:10" hidden="1" x14ac:dyDescent="0.3">
      <c r="A132" t="s">
        <v>376</v>
      </c>
      <c r="B132" t="s">
        <v>9</v>
      </c>
      <c r="C132" t="s">
        <v>377</v>
      </c>
      <c r="E132">
        <v>1701</v>
      </c>
      <c r="F132" t="s">
        <v>11</v>
      </c>
      <c r="G132" t="s">
        <v>11</v>
      </c>
      <c r="H132" t="s">
        <v>12</v>
      </c>
      <c r="I132" t="s">
        <v>343</v>
      </c>
      <c r="J132" t="str">
        <f>HYPERLINK("https://portal.sunwardpharma.com/#/?id=203785&amp;&amp;type=latest", "Click Here")</f>
        <v>Click Here</v>
      </c>
    </row>
    <row r="133" spans="1:10" hidden="1" x14ac:dyDescent="0.3">
      <c r="A133" t="s">
        <v>427</v>
      </c>
      <c r="B133" t="s">
        <v>9</v>
      </c>
      <c r="C133" t="s">
        <v>428</v>
      </c>
      <c r="E133">
        <v>2764</v>
      </c>
      <c r="F133" t="s">
        <v>11</v>
      </c>
      <c r="G133" t="s">
        <v>11</v>
      </c>
      <c r="H133" t="s">
        <v>12</v>
      </c>
      <c r="I133" t="s">
        <v>390</v>
      </c>
      <c r="J133" t="str">
        <f>HYPERLINK("https://portal.sunwardpharma.com/#/?id=203786&amp;&amp;type=latest", "Click Here")</f>
        <v>Click Here</v>
      </c>
    </row>
    <row r="134" spans="1:10" hidden="1" x14ac:dyDescent="0.3">
      <c r="A134" t="s">
        <v>380</v>
      </c>
      <c r="B134" t="s">
        <v>9</v>
      </c>
      <c r="C134" t="s">
        <v>381</v>
      </c>
      <c r="E134">
        <v>1870</v>
      </c>
      <c r="F134" t="s">
        <v>11</v>
      </c>
      <c r="G134" t="s">
        <v>11</v>
      </c>
      <c r="H134" t="s">
        <v>12</v>
      </c>
      <c r="I134" t="s">
        <v>343</v>
      </c>
      <c r="J134" t="str">
        <f>HYPERLINK("https://portal.sunwardpharma.com/#/?id=203787&amp;&amp;type=latest", "Click Here")</f>
        <v>Click Here</v>
      </c>
    </row>
    <row r="135" spans="1:10" hidden="1" x14ac:dyDescent="0.3">
      <c r="A135" t="s">
        <v>354</v>
      </c>
      <c r="B135" t="s">
        <v>9</v>
      </c>
      <c r="C135" t="s">
        <v>355</v>
      </c>
      <c r="E135">
        <v>1134</v>
      </c>
      <c r="F135" t="s">
        <v>11</v>
      </c>
      <c r="G135" t="s">
        <v>11</v>
      </c>
      <c r="H135" t="s">
        <v>12</v>
      </c>
      <c r="I135" t="s">
        <v>343</v>
      </c>
      <c r="J135" t="str">
        <f>HYPERLINK("https://portal.sunwardpharma.com/#/?id=203788&amp;&amp;type=latest", "Click Here")</f>
        <v>Click Here</v>
      </c>
    </row>
    <row r="136" spans="1:10" hidden="1" x14ac:dyDescent="0.3">
      <c r="A136" t="s">
        <v>370</v>
      </c>
      <c r="B136" t="s">
        <v>9</v>
      </c>
      <c r="C136" t="s">
        <v>371</v>
      </c>
      <c r="E136">
        <v>1251</v>
      </c>
      <c r="F136" t="s">
        <v>11</v>
      </c>
      <c r="G136" t="s">
        <v>11</v>
      </c>
      <c r="H136" t="s">
        <v>12</v>
      </c>
      <c r="I136" t="s">
        <v>343</v>
      </c>
      <c r="J136" t="str">
        <f>HYPERLINK("https://portal.sunwardpharma.com/#/?id=203789&amp;&amp;type=latest", "Click Here")</f>
        <v>Click Here</v>
      </c>
    </row>
    <row r="137" spans="1:10" hidden="1" x14ac:dyDescent="0.3">
      <c r="A137" t="s">
        <v>364</v>
      </c>
      <c r="B137" t="s">
        <v>9</v>
      </c>
      <c r="C137" t="s">
        <v>365</v>
      </c>
      <c r="E137">
        <v>1268</v>
      </c>
      <c r="F137" t="s">
        <v>11</v>
      </c>
      <c r="G137" t="s">
        <v>11</v>
      </c>
      <c r="H137" t="s">
        <v>12</v>
      </c>
      <c r="I137" t="s">
        <v>343</v>
      </c>
      <c r="J137" t="str">
        <f>HYPERLINK("https://portal.sunwardpharma.com/#/?id=203790&amp;&amp;type=latest", "Click Here")</f>
        <v>Click Here</v>
      </c>
    </row>
    <row r="138" spans="1:10" hidden="1" x14ac:dyDescent="0.3">
      <c r="A138" t="s">
        <v>366</v>
      </c>
      <c r="B138" t="s">
        <v>9</v>
      </c>
      <c r="C138" t="s">
        <v>367</v>
      </c>
      <c r="E138">
        <v>1256</v>
      </c>
      <c r="F138" t="s">
        <v>11</v>
      </c>
      <c r="G138" t="s">
        <v>11</v>
      </c>
      <c r="H138" t="s">
        <v>12</v>
      </c>
      <c r="I138" t="s">
        <v>343</v>
      </c>
      <c r="J138" t="str">
        <f>HYPERLINK("https://portal.sunwardpharma.com/#/?id=203791&amp;&amp;type=latest", "Click Here")</f>
        <v>Click Here</v>
      </c>
    </row>
    <row r="139" spans="1:10" hidden="1" x14ac:dyDescent="0.3">
      <c r="A139" t="s">
        <v>384</v>
      </c>
      <c r="B139" t="s">
        <v>9</v>
      </c>
      <c r="C139" t="s">
        <v>385</v>
      </c>
      <c r="E139">
        <v>2274</v>
      </c>
      <c r="F139" t="s">
        <v>11</v>
      </c>
      <c r="G139" t="s">
        <v>11</v>
      </c>
      <c r="H139" t="s">
        <v>12</v>
      </c>
      <c r="I139" t="s">
        <v>343</v>
      </c>
      <c r="J139" t="str">
        <f>HYPERLINK("https://portal.sunwardpharma.com/#/?id=203792&amp;&amp;type=latest", "Click Here")</f>
        <v>Click Here</v>
      </c>
    </row>
    <row r="140" spans="1:10" hidden="1" x14ac:dyDescent="0.3">
      <c r="A140" t="s">
        <v>421</v>
      </c>
      <c r="B140" t="s">
        <v>9</v>
      </c>
      <c r="C140" t="s">
        <v>422</v>
      </c>
      <c r="E140">
        <v>3004</v>
      </c>
      <c r="F140" t="s">
        <v>11</v>
      </c>
      <c r="G140" t="s">
        <v>11</v>
      </c>
      <c r="H140" t="s">
        <v>12</v>
      </c>
      <c r="I140" t="s">
        <v>390</v>
      </c>
      <c r="J140" t="str">
        <f>HYPERLINK("https://portal.sunwardpharma.com/#/?id=203793&amp;&amp;type=latest", "Click Here")</f>
        <v>Click Here</v>
      </c>
    </row>
    <row r="141" spans="1:10" hidden="1" x14ac:dyDescent="0.3">
      <c r="A141" t="s">
        <v>362</v>
      </c>
      <c r="B141" t="s">
        <v>9</v>
      </c>
      <c r="C141" t="s">
        <v>363</v>
      </c>
      <c r="E141">
        <v>1251</v>
      </c>
      <c r="F141" t="s">
        <v>11</v>
      </c>
      <c r="G141" t="s">
        <v>11</v>
      </c>
      <c r="H141" t="s">
        <v>12</v>
      </c>
      <c r="I141" t="s">
        <v>343</v>
      </c>
      <c r="J141" t="str">
        <f>HYPERLINK("https://portal.sunwardpharma.com/#/?id=203794&amp;&amp;type=latest", "Click Here")</f>
        <v>Click Here</v>
      </c>
    </row>
    <row r="142" spans="1:10" hidden="1" x14ac:dyDescent="0.3">
      <c r="A142" t="s">
        <v>348</v>
      </c>
      <c r="B142" t="s">
        <v>9</v>
      </c>
      <c r="C142" t="s">
        <v>349</v>
      </c>
      <c r="E142">
        <v>812</v>
      </c>
      <c r="F142" t="s">
        <v>11</v>
      </c>
      <c r="G142" t="s">
        <v>11</v>
      </c>
      <c r="H142" t="s">
        <v>12</v>
      </c>
      <c r="I142" t="s">
        <v>343</v>
      </c>
      <c r="J142" t="str">
        <f>HYPERLINK("https://portal.sunwardpharma.com/#/?id=203795&amp;&amp;type=latest", "Click Here")</f>
        <v>Click Here</v>
      </c>
    </row>
    <row r="143" spans="1:10" hidden="1" x14ac:dyDescent="0.3">
      <c r="A143" t="s">
        <v>439</v>
      </c>
      <c r="B143" t="s">
        <v>9</v>
      </c>
      <c r="C143" t="s">
        <v>440</v>
      </c>
      <c r="E143">
        <v>4047</v>
      </c>
      <c r="F143" t="s">
        <v>11</v>
      </c>
      <c r="G143" t="s">
        <v>11</v>
      </c>
      <c r="H143" t="s">
        <v>12</v>
      </c>
      <c r="I143" t="s">
        <v>390</v>
      </c>
      <c r="J143" t="str">
        <f>HYPERLINK("https://portal.sunwardpharma.com/#/?id=203796&amp;&amp;type=latest", "Click Here")</f>
        <v>Click Here</v>
      </c>
    </row>
    <row r="144" spans="1:10" hidden="1" x14ac:dyDescent="0.3">
      <c r="A144" t="s">
        <v>435</v>
      </c>
      <c r="B144" t="s">
        <v>9</v>
      </c>
      <c r="C144" t="s">
        <v>436</v>
      </c>
      <c r="E144">
        <v>3302</v>
      </c>
      <c r="F144" t="s">
        <v>11</v>
      </c>
      <c r="G144" t="s">
        <v>11</v>
      </c>
      <c r="H144" t="s">
        <v>12</v>
      </c>
      <c r="I144" t="s">
        <v>390</v>
      </c>
      <c r="J144" t="str">
        <f>HYPERLINK("https://portal.sunwardpharma.com/#/?id=203797&amp;&amp;type=latest", "Click Here")</f>
        <v>Click Here</v>
      </c>
    </row>
    <row r="145" spans="1:10" hidden="1" x14ac:dyDescent="0.3">
      <c r="A145" t="s">
        <v>372</v>
      </c>
      <c r="B145" t="s">
        <v>9</v>
      </c>
      <c r="C145" t="s">
        <v>373</v>
      </c>
      <c r="E145">
        <v>1194</v>
      </c>
      <c r="F145" t="s">
        <v>11</v>
      </c>
      <c r="G145" t="s">
        <v>11</v>
      </c>
      <c r="H145" t="s">
        <v>12</v>
      </c>
      <c r="I145" t="s">
        <v>343</v>
      </c>
      <c r="J145" t="str">
        <f>HYPERLINK("https://portal.sunwardpharma.com/#/?id=203798&amp;&amp;type=latest", "Click Here")</f>
        <v>Click Here</v>
      </c>
    </row>
    <row r="146" spans="1:10" hidden="1" x14ac:dyDescent="0.3">
      <c r="A146" t="s">
        <v>368</v>
      </c>
      <c r="B146" t="s">
        <v>9</v>
      </c>
      <c r="C146" t="s">
        <v>369</v>
      </c>
      <c r="E146">
        <v>1256</v>
      </c>
      <c r="F146" t="s">
        <v>11</v>
      </c>
      <c r="G146" t="s">
        <v>11</v>
      </c>
      <c r="H146" t="s">
        <v>12</v>
      </c>
      <c r="I146" t="s">
        <v>343</v>
      </c>
      <c r="J146" t="str">
        <f>HYPERLINK("https://portal.sunwardpharma.com/#/?id=203799&amp;&amp;type=latest", "Click Here")</f>
        <v>Click Here</v>
      </c>
    </row>
    <row r="147" spans="1:10" hidden="1" x14ac:dyDescent="0.3">
      <c r="A147" t="s">
        <v>374</v>
      </c>
      <c r="B147" t="s">
        <v>9</v>
      </c>
      <c r="C147" t="s">
        <v>375</v>
      </c>
      <c r="E147">
        <v>1271</v>
      </c>
      <c r="F147" t="s">
        <v>11</v>
      </c>
      <c r="G147" t="s">
        <v>11</v>
      </c>
      <c r="H147" t="s">
        <v>12</v>
      </c>
      <c r="I147" t="s">
        <v>343</v>
      </c>
      <c r="J147" t="str">
        <f>HYPERLINK("https://portal.sunwardpharma.com/#/?id=203800&amp;&amp;type=latest", "Click Here")</f>
        <v>Click Here</v>
      </c>
    </row>
    <row r="148" spans="1:10" hidden="1" x14ac:dyDescent="0.3">
      <c r="A148" t="s">
        <v>346</v>
      </c>
      <c r="B148" t="s">
        <v>9</v>
      </c>
      <c r="C148" t="s">
        <v>347</v>
      </c>
      <c r="E148">
        <v>800</v>
      </c>
      <c r="F148" t="s">
        <v>11</v>
      </c>
      <c r="G148" t="s">
        <v>11</v>
      </c>
      <c r="H148" t="s">
        <v>12</v>
      </c>
      <c r="I148" t="s">
        <v>343</v>
      </c>
      <c r="J148" t="str">
        <f>HYPERLINK("https://portal.sunwardpharma.com/#/?id=203801&amp;&amp;type=latest", "Click Here")</f>
        <v>Click Here</v>
      </c>
    </row>
    <row r="149" spans="1:10" hidden="1" x14ac:dyDescent="0.3">
      <c r="A149" t="s">
        <v>356</v>
      </c>
      <c r="B149" t="s">
        <v>9</v>
      </c>
      <c r="C149" t="s">
        <v>357</v>
      </c>
      <c r="E149">
        <v>1098</v>
      </c>
      <c r="F149" t="s">
        <v>11</v>
      </c>
      <c r="G149" t="s">
        <v>11</v>
      </c>
      <c r="H149" t="s">
        <v>12</v>
      </c>
      <c r="I149" t="s">
        <v>343</v>
      </c>
      <c r="J149" t="str">
        <f>HYPERLINK("https://portal.sunwardpharma.com/#/?id=203802&amp;&amp;type=latest", "Click Here")</f>
        <v>Click Here</v>
      </c>
    </row>
    <row r="150" spans="1:10" hidden="1" x14ac:dyDescent="0.3">
      <c r="A150" t="s">
        <v>360</v>
      </c>
      <c r="B150" t="s">
        <v>9</v>
      </c>
      <c r="C150" t="s">
        <v>361</v>
      </c>
      <c r="E150">
        <v>1109</v>
      </c>
      <c r="F150" t="s">
        <v>11</v>
      </c>
      <c r="G150" t="s">
        <v>11</v>
      </c>
      <c r="H150" t="s">
        <v>12</v>
      </c>
      <c r="I150" t="s">
        <v>343</v>
      </c>
      <c r="J150" t="str">
        <f>HYPERLINK("https://portal.sunwardpharma.com/#/?id=203803&amp;&amp;type=latest", "Click Here")</f>
        <v>Click Here</v>
      </c>
    </row>
    <row r="151" spans="1:10" hidden="1" x14ac:dyDescent="0.3">
      <c r="A151" t="s">
        <v>358</v>
      </c>
      <c r="B151" t="s">
        <v>9</v>
      </c>
      <c r="C151" t="s">
        <v>359</v>
      </c>
      <c r="E151">
        <v>1000</v>
      </c>
      <c r="F151" t="s">
        <v>11</v>
      </c>
      <c r="G151" t="s">
        <v>11</v>
      </c>
      <c r="H151" t="s">
        <v>12</v>
      </c>
      <c r="I151" t="s">
        <v>343</v>
      </c>
      <c r="J151" t="str">
        <f>HYPERLINK("https://portal.sunwardpharma.com/#/?id=203804&amp;&amp;type=latest", "Click Here")</f>
        <v>Click Here</v>
      </c>
    </row>
    <row r="152" spans="1:10" hidden="1" x14ac:dyDescent="0.3">
      <c r="A152" t="s">
        <v>433</v>
      </c>
      <c r="B152" t="s">
        <v>9</v>
      </c>
      <c r="C152" t="s">
        <v>434</v>
      </c>
      <c r="E152">
        <v>2989</v>
      </c>
      <c r="F152" t="s">
        <v>11</v>
      </c>
      <c r="G152" t="s">
        <v>11</v>
      </c>
      <c r="H152" t="s">
        <v>12</v>
      </c>
      <c r="I152" t="s">
        <v>390</v>
      </c>
      <c r="J152" t="str">
        <f>HYPERLINK("https://portal.sunwardpharma.com/#/?id=203805&amp;&amp;type=latest", "Click Here")</f>
        <v>Click Here</v>
      </c>
    </row>
    <row r="153" spans="1:10" hidden="1" x14ac:dyDescent="0.3">
      <c r="A153" t="s">
        <v>344</v>
      </c>
      <c r="B153" t="s">
        <v>9</v>
      </c>
      <c r="C153" t="s">
        <v>345</v>
      </c>
      <c r="E153">
        <v>758</v>
      </c>
      <c r="F153" t="s">
        <v>11</v>
      </c>
      <c r="G153" t="s">
        <v>11</v>
      </c>
      <c r="H153" t="s">
        <v>12</v>
      </c>
      <c r="I153" t="s">
        <v>343</v>
      </c>
      <c r="J153" t="str">
        <f>HYPERLINK("https://portal.sunwardpharma.com/#/?id=203806&amp;&amp;type=latest", "Click Here")</f>
        <v>Click Here</v>
      </c>
    </row>
    <row r="154" spans="1:10" hidden="1" x14ac:dyDescent="0.3">
      <c r="A154" t="s">
        <v>413</v>
      </c>
      <c r="B154" t="s">
        <v>9</v>
      </c>
      <c r="C154" t="s">
        <v>414</v>
      </c>
      <c r="E154">
        <v>2688</v>
      </c>
      <c r="F154" t="s">
        <v>11</v>
      </c>
      <c r="G154" t="s">
        <v>11</v>
      </c>
      <c r="H154" t="s">
        <v>12</v>
      </c>
      <c r="I154" t="s">
        <v>390</v>
      </c>
      <c r="J154" t="str">
        <f>HYPERLINK("https://portal.sunwardpharma.com/#/?id=203807&amp;&amp;type=latest", "Click Here")</f>
        <v>Click Here</v>
      </c>
    </row>
    <row r="155" spans="1:10" hidden="1" x14ac:dyDescent="0.3">
      <c r="A155" t="s">
        <v>441</v>
      </c>
      <c r="B155" t="s">
        <v>9</v>
      </c>
      <c r="C155" t="s">
        <v>442</v>
      </c>
      <c r="E155">
        <v>18630</v>
      </c>
      <c r="F155" t="s">
        <v>11</v>
      </c>
      <c r="G155" t="s">
        <v>11</v>
      </c>
      <c r="H155" t="s">
        <v>12</v>
      </c>
      <c r="I155" t="s">
        <v>390</v>
      </c>
      <c r="J155" t="str">
        <f>HYPERLINK("https://portal.sunwardpharma.com/#/?id=203808&amp;&amp;type=latest", "Click Here")</f>
        <v>Click Here</v>
      </c>
    </row>
    <row r="156" spans="1:10" hidden="1" x14ac:dyDescent="0.3">
      <c r="A156" t="s">
        <v>378</v>
      </c>
      <c r="B156" t="s">
        <v>9</v>
      </c>
      <c r="C156" t="s">
        <v>379</v>
      </c>
      <c r="E156">
        <v>1484</v>
      </c>
      <c r="F156" t="s">
        <v>11</v>
      </c>
      <c r="G156" t="s">
        <v>11</v>
      </c>
      <c r="H156" t="s">
        <v>12</v>
      </c>
      <c r="I156" t="s">
        <v>343</v>
      </c>
      <c r="J156" t="str">
        <f>HYPERLINK("https://portal.sunwardpharma.com/#/?id=203809&amp;&amp;type=latest", "Click Here")</f>
        <v>Click Here</v>
      </c>
    </row>
    <row r="157" spans="1:10" hidden="1" x14ac:dyDescent="0.3">
      <c r="A157" t="s">
        <v>350</v>
      </c>
      <c r="B157" t="s">
        <v>9</v>
      </c>
      <c r="C157" t="s">
        <v>351</v>
      </c>
      <c r="E157">
        <v>868</v>
      </c>
      <c r="F157" t="s">
        <v>11</v>
      </c>
      <c r="G157" t="s">
        <v>11</v>
      </c>
      <c r="H157" t="s">
        <v>12</v>
      </c>
      <c r="I157" t="s">
        <v>343</v>
      </c>
      <c r="J157" t="str">
        <f>HYPERLINK("https://portal.sunwardpharma.com/#/?id=203810&amp;&amp;type=latest", "Click Here")</f>
        <v>Click Here</v>
      </c>
    </row>
    <row r="158" spans="1:10" hidden="1" x14ac:dyDescent="0.3">
      <c r="A158" t="s">
        <v>352</v>
      </c>
      <c r="B158" t="s">
        <v>9</v>
      </c>
      <c r="C158" t="s">
        <v>353</v>
      </c>
      <c r="E158">
        <v>850</v>
      </c>
      <c r="F158" t="s">
        <v>11</v>
      </c>
      <c r="G158" t="s">
        <v>11</v>
      </c>
      <c r="H158" t="s">
        <v>12</v>
      </c>
      <c r="I158" t="s">
        <v>343</v>
      </c>
      <c r="J158" t="str">
        <f>HYPERLINK("https://portal.sunwardpharma.com/#/?id=203811&amp;&amp;type=latest", "Click Here")</f>
        <v>Click Here</v>
      </c>
    </row>
    <row r="159" spans="1:10" hidden="1" x14ac:dyDescent="0.3">
      <c r="A159" t="s">
        <v>341</v>
      </c>
      <c r="B159" t="s">
        <v>9</v>
      </c>
      <c r="C159" t="s">
        <v>342</v>
      </c>
      <c r="E159">
        <v>725</v>
      </c>
      <c r="F159" t="s">
        <v>11</v>
      </c>
      <c r="G159" t="s">
        <v>11</v>
      </c>
      <c r="H159" t="s">
        <v>12</v>
      </c>
      <c r="I159" t="s">
        <v>343</v>
      </c>
      <c r="J159" t="str">
        <f>HYPERLINK("https://portal.sunwardpharma.com/#/?id=203812&amp;&amp;type=latest", "Click Here")</f>
        <v>Click Here</v>
      </c>
    </row>
    <row r="160" spans="1:10" hidden="1" x14ac:dyDescent="0.3">
      <c r="A160" t="s">
        <v>386</v>
      </c>
      <c r="B160" t="s">
        <v>9</v>
      </c>
      <c r="C160" t="s">
        <v>387</v>
      </c>
      <c r="E160">
        <v>2268</v>
      </c>
      <c r="F160" t="s">
        <v>11</v>
      </c>
      <c r="G160" t="s">
        <v>11</v>
      </c>
      <c r="H160" t="s">
        <v>12</v>
      </c>
      <c r="I160" t="s">
        <v>343</v>
      </c>
      <c r="J160" t="str">
        <f>HYPERLINK("https://portal.sunwardpharma.com/#/?id=203813&amp;&amp;type=latest", "Click Here")</f>
        <v>Click Here</v>
      </c>
    </row>
    <row r="161" spans="1:10" hidden="1" x14ac:dyDescent="0.3">
      <c r="A161" t="s">
        <v>388</v>
      </c>
      <c r="B161" t="s">
        <v>9</v>
      </c>
      <c r="C161" t="s">
        <v>389</v>
      </c>
      <c r="E161">
        <v>2554</v>
      </c>
      <c r="F161" t="s">
        <v>11</v>
      </c>
      <c r="G161" t="s">
        <v>11</v>
      </c>
      <c r="H161" t="s">
        <v>12</v>
      </c>
      <c r="I161" t="s">
        <v>390</v>
      </c>
      <c r="J161" t="str">
        <f>HYPERLINK("https://portal.sunwardpharma.com/#/?id=203814&amp;&amp;type=latest", "Click Here")</f>
        <v>Click Here</v>
      </c>
    </row>
    <row r="162" spans="1:10" hidden="1" x14ac:dyDescent="0.3">
      <c r="A162" t="s">
        <v>417</v>
      </c>
      <c r="B162" t="s">
        <v>9</v>
      </c>
      <c r="C162" t="s">
        <v>418</v>
      </c>
      <c r="E162">
        <v>2926</v>
      </c>
      <c r="F162" t="s">
        <v>11</v>
      </c>
      <c r="G162" t="s">
        <v>11</v>
      </c>
      <c r="H162" t="s">
        <v>12</v>
      </c>
      <c r="I162" t="s">
        <v>390</v>
      </c>
      <c r="J162" t="str">
        <f>HYPERLINK("https://portal.sunwardpharma.com/#/?id=203815&amp;&amp;type=latest", "Click Here")</f>
        <v>Click Here</v>
      </c>
    </row>
    <row r="163" spans="1:10" hidden="1" x14ac:dyDescent="0.3">
      <c r="A163" t="s">
        <v>411</v>
      </c>
      <c r="B163" t="s">
        <v>9</v>
      </c>
      <c r="C163" t="s">
        <v>412</v>
      </c>
      <c r="E163">
        <v>2822</v>
      </c>
      <c r="F163" t="s">
        <v>11</v>
      </c>
      <c r="G163" t="s">
        <v>11</v>
      </c>
      <c r="H163" t="s">
        <v>12</v>
      </c>
      <c r="I163" t="s">
        <v>390</v>
      </c>
      <c r="J163" t="str">
        <f>HYPERLINK("https://portal.sunwardpharma.com/#/?id=203816&amp;&amp;type=latest", "Click Here")</f>
        <v>Click Here</v>
      </c>
    </row>
    <row r="164" spans="1:10" hidden="1" x14ac:dyDescent="0.3">
      <c r="A164" t="s">
        <v>431</v>
      </c>
      <c r="B164" t="s">
        <v>9</v>
      </c>
      <c r="C164" t="s">
        <v>432</v>
      </c>
      <c r="E164">
        <v>2876</v>
      </c>
      <c r="F164" t="s">
        <v>11</v>
      </c>
      <c r="G164" t="s">
        <v>11</v>
      </c>
      <c r="H164" t="s">
        <v>12</v>
      </c>
      <c r="I164" t="s">
        <v>390</v>
      </c>
      <c r="J164" t="str">
        <f>HYPERLINK("https://portal.sunwardpharma.com/#/?id=203817&amp;&amp;type=latest", "Click Here")</f>
        <v>Click Here</v>
      </c>
    </row>
    <row r="165" spans="1:10" hidden="1" x14ac:dyDescent="0.3">
      <c r="A165" t="s">
        <v>423</v>
      </c>
      <c r="B165" t="s">
        <v>9</v>
      </c>
      <c r="C165" t="s">
        <v>424</v>
      </c>
      <c r="E165">
        <v>2909</v>
      </c>
      <c r="F165" t="s">
        <v>11</v>
      </c>
      <c r="G165" t="s">
        <v>11</v>
      </c>
      <c r="H165" t="s">
        <v>12</v>
      </c>
      <c r="I165" t="s">
        <v>390</v>
      </c>
      <c r="J165" t="str">
        <f>HYPERLINK("https://portal.sunwardpharma.com/#/?id=203818&amp;&amp;type=latest", "Click Here")</f>
        <v>Click Here</v>
      </c>
    </row>
    <row r="166" spans="1:10" hidden="1" x14ac:dyDescent="0.3">
      <c r="A166" t="s">
        <v>437</v>
      </c>
      <c r="B166" t="s">
        <v>9</v>
      </c>
      <c r="C166" t="s">
        <v>438</v>
      </c>
      <c r="E166">
        <v>3318</v>
      </c>
      <c r="F166" t="s">
        <v>11</v>
      </c>
      <c r="G166" t="s">
        <v>11</v>
      </c>
      <c r="H166" t="s">
        <v>12</v>
      </c>
      <c r="I166" t="s">
        <v>390</v>
      </c>
      <c r="J166" t="str">
        <f>HYPERLINK("https://portal.sunwardpharma.com/#/?id=203819&amp;&amp;type=latest", "Click Here")</f>
        <v>Click Here</v>
      </c>
    </row>
    <row r="167" spans="1:10" hidden="1" x14ac:dyDescent="0.3">
      <c r="A167" t="s">
        <v>419</v>
      </c>
      <c r="B167" t="s">
        <v>9</v>
      </c>
      <c r="C167" t="s">
        <v>420</v>
      </c>
      <c r="E167">
        <v>2862</v>
      </c>
      <c r="F167" t="s">
        <v>11</v>
      </c>
      <c r="G167" t="s">
        <v>11</v>
      </c>
      <c r="H167" t="s">
        <v>12</v>
      </c>
      <c r="I167" t="s">
        <v>390</v>
      </c>
      <c r="J167" t="str">
        <f>HYPERLINK("https://portal.sunwardpharma.com/#/?id=203820&amp;&amp;type=latest", "Click Here")</f>
        <v>Click Here</v>
      </c>
    </row>
    <row r="168" spans="1:10" hidden="1" x14ac:dyDescent="0.3">
      <c r="A168" t="s">
        <v>425</v>
      </c>
      <c r="B168" t="s">
        <v>9</v>
      </c>
      <c r="C168" t="s">
        <v>426</v>
      </c>
      <c r="E168">
        <v>2804</v>
      </c>
      <c r="F168" t="s">
        <v>11</v>
      </c>
      <c r="G168" t="s">
        <v>11</v>
      </c>
      <c r="H168" t="s">
        <v>12</v>
      </c>
      <c r="I168" t="s">
        <v>390</v>
      </c>
      <c r="J168" t="str">
        <f>HYPERLINK("https://portal.sunwardpharma.com/#/?id=203821&amp;&amp;type=latest", "Click Here")</f>
        <v>Click Here</v>
      </c>
    </row>
    <row r="169" spans="1:10" hidden="1" x14ac:dyDescent="0.3">
      <c r="A169" t="s">
        <v>429</v>
      </c>
      <c r="B169" t="s">
        <v>9</v>
      </c>
      <c r="C169" t="s">
        <v>430</v>
      </c>
      <c r="E169">
        <v>2887</v>
      </c>
      <c r="F169" t="s">
        <v>11</v>
      </c>
      <c r="G169" t="s">
        <v>11</v>
      </c>
      <c r="H169" t="s">
        <v>12</v>
      </c>
      <c r="I169" t="s">
        <v>390</v>
      </c>
      <c r="J169" t="str">
        <f>HYPERLINK("https://portal.sunwardpharma.com/#/?id=203822&amp;&amp;type=latest", "Click Here")</f>
        <v>Click Here</v>
      </c>
    </row>
    <row r="170" spans="1:10" hidden="1" x14ac:dyDescent="0.3">
      <c r="A170" t="s">
        <v>415</v>
      </c>
      <c r="B170" t="s">
        <v>9</v>
      </c>
      <c r="C170" t="s">
        <v>416</v>
      </c>
      <c r="E170">
        <v>2852</v>
      </c>
      <c r="F170" t="s">
        <v>11</v>
      </c>
      <c r="G170" t="s">
        <v>11</v>
      </c>
      <c r="H170" t="s">
        <v>12</v>
      </c>
      <c r="I170" t="s">
        <v>390</v>
      </c>
      <c r="J170" t="str">
        <f>HYPERLINK("https://portal.sunwardpharma.com/#/?id=203823&amp;&amp;type=latest", "Click Here")</f>
        <v>Click Here</v>
      </c>
    </row>
    <row r="171" spans="1:10" hidden="1" x14ac:dyDescent="0.3">
      <c r="A171" t="s">
        <v>382</v>
      </c>
      <c r="B171" t="s">
        <v>9</v>
      </c>
      <c r="C171" t="s">
        <v>383</v>
      </c>
      <c r="E171">
        <v>1701</v>
      </c>
      <c r="F171" t="s">
        <v>11</v>
      </c>
      <c r="G171" t="s">
        <v>11</v>
      </c>
      <c r="H171" t="s">
        <v>12</v>
      </c>
      <c r="I171" t="s">
        <v>343</v>
      </c>
      <c r="J171" t="str">
        <f>HYPERLINK("https://portal.sunwardpharma.com/#/?id=203824&amp;&amp;type=latest", "Click Here")</f>
        <v>Click Here</v>
      </c>
    </row>
    <row r="172" spans="1:10" hidden="1" x14ac:dyDescent="0.3">
      <c r="A172" t="s">
        <v>477</v>
      </c>
      <c r="B172" t="s">
        <v>9</v>
      </c>
      <c r="C172" t="s">
        <v>478</v>
      </c>
      <c r="E172">
        <v>2943</v>
      </c>
      <c r="F172" t="s">
        <v>11</v>
      </c>
      <c r="G172" t="s">
        <v>11</v>
      </c>
      <c r="H172" t="s">
        <v>12</v>
      </c>
      <c r="I172" t="s">
        <v>472</v>
      </c>
      <c r="J172" t="str">
        <f>HYPERLINK("https://portal.sunwardpharma.com/#/?id=203825&amp;&amp;type=latest", "Click Here")</f>
        <v>Click Here</v>
      </c>
    </row>
    <row r="173" spans="1:10" hidden="1" x14ac:dyDescent="0.3">
      <c r="A173" t="s">
        <v>481</v>
      </c>
      <c r="B173" t="s">
        <v>9</v>
      </c>
      <c r="C173" t="s">
        <v>482</v>
      </c>
      <c r="E173">
        <v>2801</v>
      </c>
      <c r="F173" t="s">
        <v>11</v>
      </c>
      <c r="G173" t="s">
        <v>11</v>
      </c>
      <c r="H173" t="s">
        <v>12</v>
      </c>
      <c r="I173" t="s">
        <v>472</v>
      </c>
      <c r="J173" t="str">
        <f>HYPERLINK("https://portal.sunwardpharma.com/#/?id=203826&amp;&amp;type=latest", "Click Here")</f>
        <v>Click Here</v>
      </c>
    </row>
    <row r="174" spans="1:10" hidden="1" x14ac:dyDescent="0.3">
      <c r="A174" t="s">
        <v>473</v>
      </c>
      <c r="B174" t="s">
        <v>9</v>
      </c>
      <c r="C174" t="s">
        <v>474</v>
      </c>
      <c r="E174">
        <v>2788</v>
      </c>
      <c r="F174" t="s">
        <v>11</v>
      </c>
      <c r="G174" t="s">
        <v>11</v>
      </c>
      <c r="H174" t="s">
        <v>12</v>
      </c>
      <c r="I174" t="s">
        <v>472</v>
      </c>
      <c r="J174" t="str">
        <f>HYPERLINK("https://portal.sunwardpharma.com/#/?id=203827&amp;&amp;type=latest", "Click Here")</f>
        <v>Click Here</v>
      </c>
    </row>
    <row r="175" spans="1:10" hidden="1" x14ac:dyDescent="0.3">
      <c r="A175" t="s">
        <v>470</v>
      </c>
      <c r="B175" t="s">
        <v>9</v>
      </c>
      <c r="C175" t="s">
        <v>471</v>
      </c>
      <c r="E175">
        <v>2802</v>
      </c>
      <c r="F175" t="s">
        <v>11</v>
      </c>
      <c r="G175" t="s">
        <v>11</v>
      </c>
      <c r="H175" t="s">
        <v>12</v>
      </c>
      <c r="I175" t="s">
        <v>472</v>
      </c>
      <c r="J175" t="str">
        <f>HYPERLINK("https://portal.sunwardpharma.com/#/?id=203828&amp;&amp;type=latest", "Click Here")</f>
        <v>Click Here</v>
      </c>
    </row>
    <row r="176" spans="1:10" hidden="1" x14ac:dyDescent="0.3">
      <c r="A176" t="s">
        <v>483</v>
      </c>
      <c r="B176" t="s">
        <v>9</v>
      </c>
      <c r="C176" t="s">
        <v>484</v>
      </c>
      <c r="E176">
        <v>19150</v>
      </c>
      <c r="F176" t="s">
        <v>11</v>
      </c>
      <c r="G176" t="s">
        <v>11</v>
      </c>
      <c r="H176" t="s">
        <v>12</v>
      </c>
      <c r="I176" t="s">
        <v>472</v>
      </c>
      <c r="J176" t="str">
        <f>HYPERLINK("https://portal.sunwardpharma.com/#/?id=203829&amp;&amp;type=latest", "Click Here")</f>
        <v>Click Here</v>
      </c>
    </row>
    <row r="177" spans="1:10" hidden="1" x14ac:dyDescent="0.3">
      <c r="A177" t="s">
        <v>462</v>
      </c>
      <c r="B177" t="s">
        <v>9</v>
      </c>
      <c r="C177" t="s">
        <v>463</v>
      </c>
      <c r="E177">
        <v>2305</v>
      </c>
      <c r="F177" t="s">
        <v>11</v>
      </c>
      <c r="G177" t="s">
        <v>11</v>
      </c>
      <c r="H177" t="s">
        <v>12</v>
      </c>
      <c r="I177" t="s">
        <v>445</v>
      </c>
      <c r="J177" t="str">
        <f>HYPERLINK("https://portal.sunwardpharma.com/#/?id=203830&amp;&amp;type=latest", "Click Here")</f>
        <v>Click Here</v>
      </c>
    </row>
    <row r="178" spans="1:10" hidden="1" x14ac:dyDescent="0.3">
      <c r="A178" t="s">
        <v>475</v>
      </c>
      <c r="B178" t="s">
        <v>9</v>
      </c>
      <c r="C178" t="s">
        <v>476</v>
      </c>
      <c r="E178">
        <v>2402</v>
      </c>
      <c r="F178" t="s">
        <v>11</v>
      </c>
      <c r="G178" t="s">
        <v>11</v>
      </c>
      <c r="H178" t="s">
        <v>12</v>
      </c>
      <c r="I178" t="s">
        <v>472</v>
      </c>
      <c r="J178" t="str">
        <f>HYPERLINK("https://portal.sunwardpharma.com/#/?id=203831&amp;&amp;type=latest", "Click Here")</f>
        <v>Click Here</v>
      </c>
    </row>
    <row r="179" spans="1:10" hidden="1" x14ac:dyDescent="0.3">
      <c r="A179" t="s">
        <v>460</v>
      </c>
      <c r="B179" t="s">
        <v>9</v>
      </c>
      <c r="C179" t="s">
        <v>461</v>
      </c>
      <c r="E179">
        <v>1752</v>
      </c>
      <c r="F179" t="s">
        <v>11</v>
      </c>
      <c r="G179" t="s">
        <v>11</v>
      </c>
      <c r="H179" t="s">
        <v>12</v>
      </c>
      <c r="I179" t="s">
        <v>445</v>
      </c>
      <c r="J179" t="str">
        <f>HYPERLINK("https://portal.sunwardpharma.com/#/?id=203832&amp;&amp;type=latest", "Click Here")</f>
        <v>Click Here</v>
      </c>
    </row>
    <row r="180" spans="1:10" hidden="1" x14ac:dyDescent="0.3">
      <c r="A180" t="s">
        <v>452</v>
      </c>
      <c r="B180" t="s">
        <v>9</v>
      </c>
      <c r="C180" t="s">
        <v>453</v>
      </c>
      <c r="E180">
        <v>1568</v>
      </c>
      <c r="F180" t="s">
        <v>11</v>
      </c>
      <c r="G180" t="s">
        <v>11</v>
      </c>
      <c r="H180" t="s">
        <v>12</v>
      </c>
      <c r="I180" t="s">
        <v>445</v>
      </c>
      <c r="J180" t="str">
        <f>HYPERLINK("https://portal.sunwardpharma.com/#/?id=203833&amp;&amp;type=latest", "Click Here")</f>
        <v>Click Here</v>
      </c>
    </row>
    <row r="181" spans="1:10" hidden="1" x14ac:dyDescent="0.3">
      <c r="A181" t="s">
        <v>446</v>
      </c>
      <c r="B181" t="s">
        <v>9</v>
      </c>
      <c r="C181" t="s">
        <v>447</v>
      </c>
      <c r="E181">
        <v>1149</v>
      </c>
      <c r="F181" t="s">
        <v>11</v>
      </c>
      <c r="G181" t="s">
        <v>11</v>
      </c>
      <c r="H181" t="s">
        <v>12</v>
      </c>
      <c r="I181" t="s">
        <v>445</v>
      </c>
      <c r="J181" t="str">
        <f>HYPERLINK("https://portal.sunwardpharma.com/#/?id=203834&amp;&amp;type=latest", "Click Here")</f>
        <v>Click Here</v>
      </c>
    </row>
    <row r="182" spans="1:10" hidden="1" x14ac:dyDescent="0.3">
      <c r="A182" t="s">
        <v>448</v>
      </c>
      <c r="B182" t="s">
        <v>9</v>
      </c>
      <c r="C182" t="s">
        <v>449</v>
      </c>
      <c r="E182">
        <v>1548</v>
      </c>
      <c r="F182" t="s">
        <v>11</v>
      </c>
      <c r="G182" t="s">
        <v>11</v>
      </c>
      <c r="H182" t="s">
        <v>12</v>
      </c>
      <c r="I182" t="s">
        <v>445</v>
      </c>
      <c r="J182" t="str">
        <f>HYPERLINK("https://portal.sunwardpharma.com/#/?id=203835&amp;&amp;type=latest", "Click Here")</f>
        <v>Click Here</v>
      </c>
    </row>
    <row r="183" spans="1:10" hidden="1" x14ac:dyDescent="0.3">
      <c r="A183" t="s">
        <v>479</v>
      </c>
      <c r="B183" t="s">
        <v>9</v>
      </c>
      <c r="C183" t="s">
        <v>480</v>
      </c>
      <c r="E183">
        <v>2927</v>
      </c>
      <c r="F183" t="s">
        <v>11</v>
      </c>
      <c r="G183" t="s">
        <v>11</v>
      </c>
      <c r="H183" t="s">
        <v>12</v>
      </c>
      <c r="I183" t="s">
        <v>472</v>
      </c>
      <c r="J183" t="str">
        <f>HYPERLINK("https://portal.sunwardpharma.com/#/?id=203836&amp;&amp;type=latest", "Click Here")</f>
        <v>Click Here</v>
      </c>
    </row>
    <row r="184" spans="1:10" hidden="1" x14ac:dyDescent="0.3">
      <c r="A184" t="s">
        <v>454</v>
      </c>
      <c r="B184" t="s">
        <v>9</v>
      </c>
      <c r="C184" t="s">
        <v>455</v>
      </c>
      <c r="E184">
        <v>1680</v>
      </c>
      <c r="F184" t="s">
        <v>11</v>
      </c>
      <c r="G184" t="s">
        <v>11</v>
      </c>
      <c r="H184" t="s">
        <v>12</v>
      </c>
      <c r="I184" t="s">
        <v>445</v>
      </c>
      <c r="J184" t="str">
        <f>HYPERLINK("https://portal.sunwardpharma.com/#/?id=203837&amp;&amp;type=latest", "Click Here")</f>
        <v>Click Here</v>
      </c>
    </row>
    <row r="185" spans="1:10" hidden="1" x14ac:dyDescent="0.3">
      <c r="A185" t="s">
        <v>458</v>
      </c>
      <c r="B185" t="s">
        <v>9</v>
      </c>
      <c r="C185" t="s">
        <v>459</v>
      </c>
      <c r="E185">
        <v>1647</v>
      </c>
      <c r="F185" t="s">
        <v>11</v>
      </c>
      <c r="G185" t="s">
        <v>11</v>
      </c>
      <c r="H185" t="s">
        <v>12</v>
      </c>
      <c r="I185" t="s">
        <v>445</v>
      </c>
      <c r="J185" t="str">
        <f>HYPERLINK("https://portal.sunwardpharma.com/#/?id=203838&amp;&amp;type=latest", "Click Here")</f>
        <v>Click Here</v>
      </c>
    </row>
    <row r="186" spans="1:10" hidden="1" x14ac:dyDescent="0.3">
      <c r="A186" t="s">
        <v>466</v>
      </c>
      <c r="B186" t="s">
        <v>9</v>
      </c>
      <c r="C186" t="s">
        <v>467</v>
      </c>
      <c r="E186">
        <v>2168</v>
      </c>
      <c r="F186" t="s">
        <v>11</v>
      </c>
      <c r="G186" t="s">
        <v>11</v>
      </c>
      <c r="H186" t="s">
        <v>12</v>
      </c>
      <c r="I186" t="s">
        <v>445</v>
      </c>
      <c r="J186" t="str">
        <f>HYPERLINK("https://portal.sunwardpharma.com/#/?id=203839&amp;&amp;type=latest", "Click Here")</f>
        <v>Click Here</v>
      </c>
    </row>
    <row r="187" spans="1:10" hidden="1" x14ac:dyDescent="0.3">
      <c r="A187" t="s">
        <v>464</v>
      </c>
      <c r="B187" t="s">
        <v>9</v>
      </c>
      <c r="C187" t="s">
        <v>465</v>
      </c>
      <c r="E187">
        <v>2330</v>
      </c>
      <c r="F187" t="s">
        <v>11</v>
      </c>
      <c r="G187" t="s">
        <v>11</v>
      </c>
      <c r="H187" t="s">
        <v>12</v>
      </c>
      <c r="I187" t="s">
        <v>445</v>
      </c>
      <c r="J187" t="str">
        <f>HYPERLINK("https://portal.sunwardpharma.com/#/?id=203840&amp;&amp;type=latest", "Click Here")</f>
        <v>Click Here</v>
      </c>
    </row>
    <row r="188" spans="1:10" hidden="1" x14ac:dyDescent="0.3">
      <c r="A188" t="s">
        <v>443</v>
      </c>
      <c r="B188" t="s">
        <v>9</v>
      </c>
      <c r="C188" t="s">
        <v>444</v>
      </c>
      <c r="E188">
        <v>961</v>
      </c>
      <c r="F188" t="s">
        <v>11</v>
      </c>
      <c r="G188" t="s">
        <v>11</v>
      </c>
      <c r="H188" t="s">
        <v>12</v>
      </c>
      <c r="I188" t="s">
        <v>445</v>
      </c>
      <c r="J188" t="str">
        <f>HYPERLINK("https://portal.sunwardpharma.com/#/?id=204750&amp;&amp;type=latest", "Click Here")</f>
        <v>Click Here</v>
      </c>
    </row>
    <row r="189" spans="1:10" hidden="1" x14ac:dyDescent="0.3">
      <c r="A189" t="s">
        <v>456</v>
      </c>
      <c r="B189" t="s">
        <v>9</v>
      </c>
      <c r="C189" t="s">
        <v>457</v>
      </c>
      <c r="E189">
        <v>1648</v>
      </c>
      <c r="F189" t="s">
        <v>11</v>
      </c>
      <c r="G189" t="s">
        <v>11</v>
      </c>
      <c r="H189" t="s">
        <v>12</v>
      </c>
      <c r="I189" t="s">
        <v>445</v>
      </c>
      <c r="J189" t="str">
        <f>HYPERLINK("https://portal.sunwardpharma.com/#/?id=204751&amp;&amp;type=latest", "Click Here")</f>
        <v>Click Here</v>
      </c>
    </row>
    <row r="190" spans="1:10" hidden="1" x14ac:dyDescent="0.3">
      <c r="A190" t="s">
        <v>468</v>
      </c>
      <c r="B190" t="s">
        <v>9</v>
      </c>
      <c r="C190" t="s">
        <v>469</v>
      </c>
      <c r="E190">
        <v>2341</v>
      </c>
      <c r="F190" t="s">
        <v>11</v>
      </c>
      <c r="G190" t="s">
        <v>11</v>
      </c>
      <c r="H190" t="s">
        <v>12</v>
      </c>
      <c r="I190" t="s">
        <v>445</v>
      </c>
      <c r="J190" t="str">
        <f>HYPERLINK("https://portal.sunwardpharma.com/#/?id=204752&amp;&amp;type=latest", "Click Here")</f>
        <v>Click Here</v>
      </c>
    </row>
    <row r="191" spans="1:10" hidden="1" x14ac:dyDescent="0.3">
      <c r="A191" t="s">
        <v>450</v>
      </c>
      <c r="B191" t="s">
        <v>9</v>
      </c>
      <c r="C191" t="s">
        <v>451</v>
      </c>
      <c r="E191">
        <v>1520</v>
      </c>
      <c r="F191" t="s">
        <v>11</v>
      </c>
      <c r="G191" t="s">
        <v>11</v>
      </c>
      <c r="H191" t="s">
        <v>12</v>
      </c>
      <c r="I191" t="s">
        <v>445</v>
      </c>
      <c r="J191" t="str">
        <f>HYPERLINK("https://portal.sunwardpharma.com/#/?id=204753&amp;&amp;type=latest", "Click Here")</f>
        <v>Click Here</v>
      </c>
    </row>
    <row r="192" spans="1:10" hidden="1" x14ac:dyDescent="0.3">
      <c r="A192" t="s">
        <v>578</v>
      </c>
      <c r="B192" t="s">
        <v>9</v>
      </c>
      <c r="C192" t="s">
        <v>579</v>
      </c>
      <c r="E192">
        <v>2008</v>
      </c>
      <c r="F192" t="s">
        <v>11</v>
      </c>
      <c r="G192" t="s">
        <v>11</v>
      </c>
      <c r="H192" t="s">
        <v>12</v>
      </c>
      <c r="I192" t="s">
        <v>580</v>
      </c>
      <c r="J192" t="str">
        <f>HYPERLINK("https://portal.sunwardpharma.com/#/?id=204754&amp;&amp;type=latest", "Click Here")</f>
        <v>Click Here</v>
      </c>
    </row>
    <row r="193" spans="1:10" hidden="1" x14ac:dyDescent="0.3">
      <c r="A193" t="s">
        <v>531</v>
      </c>
      <c r="B193" t="s">
        <v>9</v>
      </c>
      <c r="C193" t="s">
        <v>532</v>
      </c>
      <c r="E193">
        <v>888</v>
      </c>
      <c r="F193" t="s">
        <v>11</v>
      </c>
      <c r="G193" t="s">
        <v>11</v>
      </c>
      <c r="H193" t="s">
        <v>12</v>
      </c>
      <c r="I193" t="s">
        <v>487</v>
      </c>
      <c r="J193" t="str">
        <f>HYPERLINK("https://portal.sunwardpharma.com/#/?id=204755&amp;&amp;type=latest", "Click Here")</f>
        <v>Click Here</v>
      </c>
    </row>
    <row r="194" spans="1:10" hidden="1" x14ac:dyDescent="0.3">
      <c r="A194" t="s">
        <v>525</v>
      </c>
      <c r="B194" t="s">
        <v>9</v>
      </c>
      <c r="C194" t="s">
        <v>526</v>
      </c>
      <c r="E194">
        <v>763</v>
      </c>
      <c r="F194" t="s">
        <v>11</v>
      </c>
      <c r="G194" t="s">
        <v>11</v>
      </c>
      <c r="H194" t="s">
        <v>12</v>
      </c>
      <c r="I194" t="s">
        <v>487</v>
      </c>
      <c r="J194" t="str">
        <f>HYPERLINK("https://portal.sunwardpharma.com/#/?id=204756&amp;&amp;type=latest", "Click Here")</f>
        <v>Click Here</v>
      </c>
    </row>
    <row r="195" spans="1:10" hidden="1" x14ac:dyDescent="0.3">
      <c r="A195" t="s">
        <v>545</v>
      </c>
      <c r="B195" t="s">
        <v>9</v>
      </c>
      <c r="C195" t="s">
        <v>546</v>
      </c>
      <c r="E195">
        <v>1061</v>
      </c>
      <c r="F195" t="s">
        <v>11</v>
      </c>
      <c r="G195" t="s">
        <v>11</v>
      </c>
      <c r="H195" t="s">
        <v>12</v>
      </c>
      <c r="I195" t="s">
        <v>487</v>
      </c>
      <c r="J195" t="str">
        <f>HYPERLINK("https://portal.sunwardpharma.com/#/?id=204757&amp;&amp;type=latest", "Click Here")</f>
        <v>Click Here</v>
      </c>
    </row>
    <row r="196" spans="1:10" hidden="1" x14ac:dyDescent="0.3">
      <c r="A196" t="s">
        <v>537</v>
      </c>
      <c r="B196" t="s">
        <v>9</v>
      </c>
      <c r="C196" t="s">
        <v>538</v>
      </c>
      <c r="E196">
        <v>799</v>
      </c>
      <c r="F196" t="s">
        <v>11</v>
      </c>
      <c r="G196" t="s">
        <v>11</v>
      </c>
      <c r="H196" t="s">
        <v>12</v>
      </c>
      <c r="I196" t="s">
        <v>487</v>
      </c>
      <c r="J196" t="str">
        <f>HYPERLINK("https://portal.sunwardpharma.com/#/?id=204758&amp;&amp;type=latest", "Click Here")</f>
        <v>Click Here</v>
      </c>
    </row>
    <row r="197" spans="1:10" hidden="1" x14ac:dyDescent="0.3">
      <c r="A197" t="s">
        <v>541</v>
      </c>
      <c r="B197" t="s">
        <v>9</v>
      </c>
      <c r="C197" t="s">
        <v>542</v>
      </c>
      <c r="E197">
        <v>826</v>
      </c>
      <c r="F197" t="s">
        <v>11</v>
      </c>
      <c r="G197" t="s">
        <v>11</v>
      </c>
      <c r="H197" t="s">
        <v>12</v>
      </c>
      <c r="I197" t="s">
        <v>487</v>
      </c>
      <c r="J197" t="str">
        <f>HYPERLINK("https://portal.sunwardpharma.com/#/?id=204759&amp;&amp;type=latest", "Click Here")</f>
        <v>Click Here</v>
      </c>
    </row>
    <row r="198" spans="1:10" hidden="1" x14ac:dyDescent="0.3">
      <c r="A198" t="s">
        <v>561</v>
      </c>
      <c r="B198" t="s">
        <v>9</v>
      </c>
      <c r="C198" t="s">
        <v>562</v>
      </c>
      <c r="E198">
        <v>1293</v>
      </c>
      <c r="F198" t="s">
        <v>11</v>
      </c>
      <c r="G198" t="s">
        <v>11</v>
      </c>
      <c r="H198" t="s">
        <v>12</v>
      </c>
      <c r="I198" t="s">
        <v>487</v>
      </c>
      <c r="J198" t="str">
        <f>HYPERLINK("https://portal.sunwardpharma.com/#/?id=204760&amp;&amp;type=latest", "Click Here")</f>
        <v>Click Here</v>
      </c>
    </row>
    <row r="199" spans="1:10" hidden="1" x14ac:dyDescent="0.3">
      <c r="A199" t="s">
        <v>597</v>
      </c>
      <c r="B199" t="s">
        <v>9</v>
      </c>
      <c r="C199" t="s">
        <v>598</v>
      </c>
      <c r="E199">
        <v>2040</v>
      </c>
      <c r="F199" t="s">
        <v>11</v>
      </c>
      <c r="G199" t="s">
        <v>11</v>
      </c>
      <c r="H199" t="s">
        <v>12</v>
      </c>
      <c r="I199" t="s">
        <v>575</v>
      </c>
      <c r="J199" t="str">
        <f>HYPERLINK("https://portal.sunwardpharma.com/#/?id=204761&amp;&amp;type=latest", "Click Here")</f>
        <v>Click Here</v>
      </c>
    </row>
    <row r="200" spans="1:10" hidden="1" x14ac:dyDescent="0.3">
      <c r="A200" t="s">
        <v>587</v>
      </c>
      <c r="B200" t="s">
        <v>9</v>
      </c>
      <c r="C200" t="s">
        <v>588</v>
      </c>
      <c r="E200">
        <v>2031</v>
      </c>
      <c r="F200" t="s">
        <v>11</v>
      </c>
      <c r="G200" t="s">
        <v>11</v>
      </c>
      <c r="H200" t="s">
        <v>12</v>
      </c>
      <c r="I200" t="s">
        <v>575</v>
      </c>
      <c r="J200" t="str">
        <f>HYPERLINK("https://portal.sunwardpharma.com/#/?id=204762&amp;&amp;type=latest", "Click Here")</f>
        <v>Click Here</v>
      </c>
    </row>
    <row r="201" spans="1:10" hidden="1" x14ac:dyDescent="0.3">
      <c r="A201" t="s">
        <v>529</v>
      </c>
      <c r="B201" t="s">
        <v>9</v>
      </c>
      <c r="C201" t="s">
        <v>530</v>
      </c>
      <c r="E201">
        <v>792</v>
      </c>
      <c r="F201" t="s">
        <v>11</v>
      </c>
      <c r="G201" t="s">
        <v>11</v>
      </c>
      <c r="H201" t="s">
        <v>12</v>
      </c>
      <c r="I201" t="s">
        <v>487</v>
      </c>
      <c r="J201" t="str">
        <f>HYPERLINK("https://portal.sunwardpharma.com/#/?id=204763&amp;&amp;type=latest", "Click Here")</f>
        <v>Click Here</v>
      </c>
    </row>
    <row r="202" spans="1:10" hidden="1" x14ac:dyDescent="0.3">
      <c r="A202" t="s">
        <v>549</v>
      </c>
      <c r="B202" t="s">
        <v>9</v>
      </c>
      <c r="C202" t="s">
        <v>550</v>
      </c>
      <c r="E202">
        <v>1085</v>
      </c>
      <c r="F202" t="s">
        <v>11</v>
      </c>
      <c r="G202" t="s">
        <v>11</v>
      </c>
      <c r="H202" t="s">
        <v>12</v>
      </c>
      <c r="I202" t="s">
        <v>487</v>
      </c>
      <c r="J202" t="str">
        <f>HYPERLINK("https://portal.sunwardpharma.com/#/?id=204764&amp;&amp;type=latest", "Click Here")</f>
        <v>Click Here</v>
      </c>
    </row>
    <row r="203" spans="1:10" hidden="1" x14ac:dyDescent="0.3">
      <c r="A203" t="s">
        <v>637</v>
      </c>
      <c r="B203" t="s">
        <v>9</v>
      </c>
      <c r="C203" t="s">
        <v>638</v>
      </c>
      <c r="E203">
        <v>2804</v>
      </c>
      <c r="F203" t="s">
        <v>11</v>
      </c>
      <c r="G203" t="s">
        <v>11</v>
      </c>
      <c r="H203" t="s">
        <v>12</v>
      </c>
      <c r="I203" t="s">
        <v>575</v>
      </c>
      <c r="J203" t="str">
        <f>HYPERLINK("https://portal.sunwardpharma.com/#/?id=204777&amp;&amp;type=latest", "Click Here")</f>
        <v>Click Here</v>
      </c>
    </row>
    <row r="204" spans="1:10" hidden="1" x14ac:dyDescent="0.3">
      <c r="A204" t="s">
        <v>663</v>
      </c>
      <c r="B204" t="s">
        <v>9</v>
      </c>
      <c r="C204" t="s">
        <v>664</v>
      </c>
      <c r="E204">
        <v>3089</v>
      </c>
      <c r="F204" t="s">
        <v>11</v>
      </c>
      <c r="G204" t="s">
        <v>11</v>
      </c>
      <c r="H204" t="s">
        <v>12</v>
      </c>
      <c r="I204" t="s">
        <v>575</v>
      </c>
      <c r="J204" t="str">
        <f>HYPERLINK("https://portal.sunwardpharma.com/#/?id=204778&amp;&amp;type=latest", "Click Here")</f>
        <v>Click Here</v>
      </c>
    </row>
    <row r="205" spans="1:10" hidden="1" x14ac:dyDescent="0.3">
      <c r="A205" t="s">
        <v>657</v>
      </c>
      <c r="B205" t="s">
        <v>9</v>
      </c>
      <c r="C205" t="s">
        <v>658</v>
      </c>
      <c r="E205">
        <v>2806</v>
      </c>
      <c r="F205" t="s">
        <v>11</v>
      </c>
      <c r="G205" t="s">
        <v>11</v>
      </c>
      <c r="H205" t="s">
        <v>12</v>
      </c>
      <c r="I205" t="s">
        <v>575</v>
      </c>
      <c r="J205" t="str">
        <f>HYPERLINK("https://portal.sunwardpharma.com/#/?id=214916&amp;&amp;type=latest", "Click Here")</f>
        <v>Click Here</v>
      </c>
    </row>
    <row r="206" spans="1:10" hidden="1" x14ac:dyDescent="0.3">
      <c r="A206" t="s">
        <v>655</v>
      </c>
      <c r="B206" t="s">
        <v>9</v>
      </c>
      <c r="C206" t="s">
        <v>656</v>
      </c>
      <c r="E206">
        <v>2812</v>
      </c>
      <c r="F206" t="s">
        <v>11</v>
      </c>
      <c r="G206" t="s">
        <v>11</v>
      </c>
      <c r="H206" t="s">
        <v>12</v>
      </c>
      <c r="I206" t="s">
        <v>575</v>
      </c>
      <c r="J206" t="str">
        <f>HYPERLINK("https://portal.sunwardpharma.com/#/?id=214917&amp;&amp;type=latest", "Click Here")</f>
        <v>Click Here</v>
      </c>
    </row>
    <row r="207" spans="1:10" hidden="1" x14ac:dyDescent="0.3">
      <c r="A207" t="s">
        <v>635</v>
      </c>
      <c r="B207" t="s">
        <v>9</v>
      </c>
      <c r="C207" t="s">
        <v>636</v>
      </c>
      <c r="E207">
        <v>2889</v>
      </c>
      <c r="F207" t="s">
        <v>11</v>
      </c>
      <c r="G207" t="s">
        <v>11</v>
      </c>
      <c r="H207" t="s">
        <v>12</v>
      </c>
      <c r="I207" t="s">
        <v>575</v>
      </c>
      <c r="J207" t="str">
        <f>HYPERLINK("https://portal.sunwardpharma.com/#/?id=214918&amp;&amp;type=latest", "Click Here")</f>
        <v>Click Here</v>
      </c>
    </row>
    <row r="208" spans="1:10" hidden="1" x14ac:dyDescent="0.3">
      <c r="A208" t="s">
        <v>673</v>
      </c>
      <c r="B208" t="s">
        <v>9</v>
      </c>
      <c r="C208" t="s">
        <v>674</v>
      </c>
      <c r="E208">
        <v>3329</v>
      </c>
      <c r="F208" t="s">
        <v>11</v>
      </c>
      <c r="G208" t="s">
        <v>11</v>
      </c>
      <c r="H208" t="s">
        <v>12</v>
      </c>
      <c r="I208" t="s">
        <v>575</v>
      </c>
      <c r="J208" t="str">
        <f>HYPERLINK("https://portal.sunwardpharma.com/#/?id=214919&amp;&amp;type=latest", "Click Here")</f>
        <v>Click Here</v>
      </c>
    </row>
    <row r="209" spans="1:10" hidden="1" x14ac:dyDescent="0.3">
      <c r="A209" t="s">
        <v>671</v>
      </c>
      <c r="B209" t="s">
        <v>9</v>
      </c>
      <c r="C209" t="s">
        <v>672</v>
      </c>
      <c r="E209">
        <v>3686</v>
      </c>
      <c r="F209" t="s">
        <v>11</v>
      </c>
      <c r="G209" t="s">
        <v>11</v>
      </c>
      <c r="H209" t="s">
        <v>12</v>
      </c>
      <c r="I209" t="s">
        <v>575</v>
      </c>
      <c r="J209" t="str">
        <f>HYPERLINK("https://portal.sunwardpharma.com/#/?id=203841&amp;&amp;type=latest", "Click Here")</f>
        <v>Click Here</v>
      </c>
    </row>
    <row r="210" spans="1:10" hidden="1" x14ac:dyDescent="0.3">
      <c r="A210" t="s">
        <v>651</v>
      </c>
      <c r="B210" t="s">
        <v>9</v>
      </c>
      <c r="C210" t="s">
        <v>652</v>
      </c>
      <c r="E210">
        <v>3070</v>
      </c>
      <c r="F210" t="s">
        <v>11</v>
      </c>
      <c r="G210" t="s">
        <v>11</v>
      </c>
      <c r="H210" t="s">
        <v>12</v>
      </c>
      <c r="I210" t="s">
        <v>575</v>
      </c>
      <c r="J210" t="str">
        <f>HYPERLINK("https://portal.sunwardpharma.com/#/?id=203842&amp;&amp;type=latest", "Click Here")</f>
        <v>Click Here</v>
      </c>
    </row>
    <row r="211" spans="1:10" hidden="1" x14ac:dyDescent="0.3">
      <c r="A211" t="s">
        <v>665</v>
      </c>
      <c r="B211" t="s">
        <v>9</v>
      </c>
      <c r="C211" t="s">
        <v>666</v>
      </c>
      <c r="E211">
        <v>2954</v>
      </c>
      <c r="F211" t="s">
        <v>11</v>
      </c>
      <c r="G211" t="s">
        <v>11</v>
      </c>
      <c r="H211" t="s">
        <v>12</v>
      </c>
      <c r="I211" t="s">
        <v>575</v>
      </c>
      <c r="J211" t="str">
        <f>HYPERLINK("https://portal.sunwardpharma.com/#/?id=203843&amp;&amp;type=latest", "Click Here")</f>
        <v>Click Here</v>
      </c>
    </row>
    <row r="212" spans="1:10" hidden="1" x14ac:dyDescent="0.3">
      <c r="A212" t="s">
        <v>641</v>
      </c>
      <c r="B212" t="s">
        <v>9</v>
      </c>
      <c r="C212" t="s">
        <v>642</v>
      </c>
      <c r="E212">
        <v>2590</v>
      </c>
      <c r="F212" t="s">
        <v>11</v>
      </c>
      <c r="G212" t="s">
        <v>11</v>
      </c>
      <c r="H212" t="s">
        <v>12</v>
      </c>
      <c r="I212" t="s">
        <v>575</v>
      </c>
      <c r="J212" t="str">
        <f>HYPERLINK("https://portal.sunwardpharma.com/#/?id=203844&amp;&amp;type=latest", "Click Here")</f>
        <v>Click Here</v>
      </c>
    </row>
    <row r="213" spans="1:10" hidden="1" x14ac:dyDescent="0.3">
      <c r="A213" t="s">
        <v>521</v>
      </c>
      <c r="B213" t="s">
        <v>9</v>
      </c>
      <c r="C213" t="s">
        <v>522</v>
      </c>
      <c r="E213">
        <v>690</v>
      </c>
      <c r="F213" t="s">
        <v>11</v>
      </c>
      <c r="G213" t="s">
        <v>11</v>
      </c>
      <c r="H213" t="s">
        <v>12</v>
      </c>
      <c r="I213" t="s">
        <v>487</v>
      </c>
      <c r="J213" t="str">
        <f>HYPERLINK("https://portal.sunwardpharma.com/#/?id=203845&amp;&amp;type=latest", "Click Here")</f>
        <v>Click Here</v>
      </c>
    </row>
    <row r="214" spans="1:10" hidden="1" x14ac:dyDescent="0.3">
      <c r="A214" t="s">
        <v>661</v>
      </c>
      <c r="B214" t="s">
        <v>9</v>
      </c>
      <c r="C214" t="s">
        <v>662</v>
      </c>
      <c r="E214">
        <v>2941</v>
      </c>
      <c r="F214" t="s">
        <v>11</v>
      </c>
      <c r="G214" t="s">
        <v>11</v>
      </c>
      <c r="H214" t="s">
        <v>12</v>
      </c>
      <c r="I214" t="s">
        <v>575</v>
      </c>
      <c r="J214" t="str">
        <f>HYPERLINK("https://portal.sunwardpharma.com/#/?id=203846&amp;&amp;type=latest", "Click Here")</f>
        <v>Click Here</v>
      </c>
    </row>
    <row r="215" spans="1:10" hidden="1" x14ac:dyDescent="0.3">
      <c r="A215" t="s">
        <v>659</v>
      </c>
      <c r="B215" t="s">
        <v>9</v>
      </c>
      <c r="C215" t="s">
        <v>660</v>
      </c>
      <c r="E215">
        <v>2837</v>
      </c>
      <c r="F215" t="s">
        <v>11</v>
      </c>
      <c r="G215" t="s">
        <v>11</v>
      </c>
      <c r="H215" t="s">
        <v>12</v>
      </c>
      <c r="I215" t="s">
        <v>575</v>
      </c>
      <c r="J215" t="str">
        <f>HYPERLINK("https://portal.sunwardpharma.com/#/?id=203847&amp;&amp;type=latest", "Click Here")</f>
        <v>Click Here</v>
      </c>
    </row>
    <row r="216" spans="1:10" hidden="1" x14ac:dyDescent="0.3">
      <c r="A216" t="s">
        <v>643</v>
      </c>
      <c r="B216" t="s">
        <v>9</v>
      </c>
      <c r="C216" t="s">
        <v>644</v>
      </c>
      <c r="E216">
        <v>2859</v>
      </c>
      <c r="F216" t="s">
        <v>11</v>
      </c>
      <c r="G216" t="s">
        <v>11</v>
      </c>
      <c r="H216" t="s">
        <v>12</v>
      </c>
      <c r="I216" t="s">
        <v>575</v>
      </c>
      <c r="J216" t="str">
        <f>HYPERLINK("https://portal.sunwardpharma.com/#/?id=203848&amp;&amp;type=latest", "Click Here")</f>
        <v>Click Here</v>
      </c>
    </row>
    <row r="217" spans="1:10" hidden="1" x14ac:dyDescent="0.3">
      <c r="A217" t="s">
        <v>649</v>
      </c>
      <c r="B217" t="s">
        <v>9</v>
      </c>
      <c r="C217" t="s">
        <v>650</v>
      </c>
      <c r="E217">
        <v>2806</v>
      </c>
      <c r="F217" t="s">
        <v>11</v>
      </c>
      <c r="G217" t="s">
        <v>11</v>
      </c>
      <c r="H217" t="s">
        <v>12</v>
      </c>
      <c r="I217" t="s">
        <v>575</v>
      </c>
      <c r="J217" t="str">
        <f>HYPERLINK("https://portal.sunwardpharma.com/#/?id=203849&amp;&amp;type=latest", "Click Here")</f>
        <v>Click Here</v>
      </c>
    </row>
    <row r="218" spans="1:10" hidden="1" x14ac:dyDescent="0.3">
      <c r="A218" t="s">
        <v>599</v>
      </c>
      <c r="B218" t="s">
        <v>9</v>
      </c>
      <c r="C218" t="s">
        <v>600</v>
      </c>
      <c r="E218">
        <v>2137</v>
      </c>
      <c r="F218" t="s">
        <v>11</v>
      </c>
      <c r="G218" t="s">
        <v>11</v>
      </c>
      <c r="H218" t="s">
        <v>12</v>
      </c>
      <c r="I218" t="s">
        <v>575</v>
      </c>
      <c r="J218" t="str">
        <f>HYPERLINK("https://portal.sunwardpharma.com/#/?id=203850&amp;&amp;type=latest", "Click Here")</f>
        <v>Click Here</v>
      </c>
    </row>
    <row r="219" spans="1:10" hidden="1" x14ac:dyDescent="0.3">
      <c r="A219" t="s">
        <v>553</v>
      </c>
      <c r="B219" t="s">
        <v>9</v>
      </c>
      <c r="C219" t="s">
        <v>554</v>
      </c>
      <c r="E219">
        <v>873</v>
      </c>
      <c r="F219" t="s">
        <v>11</v>
      </c>
      <c r="G219" t="s">
        <v>11</v>
      </c>
      <c r="H219" t="s">
        <v>12</v>
      </c>
      <c r="I219" t="s">
        <v>487</v>
      </c>
      <c r="J219" t="str">
        <f>HYPERLINK("https://portal.sunwardpharma.com/#/?id=203851&amp;&amp;type=latest", "Click Here")</f>
        <v>Click Here</v>
      </c>
    </row>
    <row r="220" spans="1:10" hidden="1" x14ac:dyDescent="0.3">
      <c r="A220" t="s">
        <v>571</v>
      </c>
      <c r="B220" t="s">
        <v>9</v>
      </c>
      <c r="C220" t="s">
        <v>572</v>
      </c>
      <c r="E220">
        <v>1445</v>
      </c>
      <c r="F220" t="s">
        <v>11</v>
      </c>
      <c r="G220" t="s">
        <v>11</v>
      </c>
      <c r="H220" t="s">
        <v>12</v>
      </c>
      <c r="I220" t="s">
        <v>487</v>
      </c>
      <c r="J220" t="str">
        <f>HYPERLINK("https://portal.sunwardpharma.com/#/?id=203852&amp;&amp;type=latest", "Click Here")</f>
        <v>Click Here</v>
      </c>
    </row>
    <row r="221" spans="1:10" hidden="1" x14ac:dyDescent="0.3">
      <c r="A221" t="s">
        <v>559</v>
      </c>
      <c r="B221" t="s">
        <v>9</v>
      </c>
      <c r="C221" t="s">
        <v>560</v>
      </c>
      <c r="E221">
        <v>1070</v>
      </c>
      <c r="F221" t="s">
        <v>11</v>
      </c>
      <c r="G221" t="s">
        <v>11</v>
      </c>
      <c r="H221" t="s">
        <v>12</v>
      </c>
      <c r="I221" t="s">
        <v>487</v>
      </c>
      <c r="J221" t="str">
        <f>HYPERLINK("https://portal.sunwardpharma.com/#/?id=203853&amp;&amp;type=latest", "Click Here")</f>
        <v>Click Here</v>
      </c>
    </row>
    <row r="222" spans="1:10" hidden="1" x14ac:dyDescent="0.3">
      <c r="A222" t="s">
        <v>627</v>
      </c>
      <c r="B222" t="s">
        <v>9</v>
      </c>
      <c r="C222" t="s">
        <v>628</v>
      </c>
      <c r="E222">
        <v>2420</v>
      </c>
      <c r="F222" t="s">
        <v>11</v>
      </c>
      <c r="G222" t="s">
        <v>11</v>
      </c>
      <c r="H222" t="s">
        <v>12</v>
      </c>
      <c r="I222" t="s">
        <v>575</v>
      </c>
      <c r="J222" t="str">
        <f>HYPERLINK("https://portal.sunwardpharma.com/#/?id=203854&amp;&amp;type=latest", "Click Here")</f>
        <v>Click Here</v>
      </c>
    </row>
    <row r="223" spans="1:10" hidden="1" x14ac:dyDescent="0.3">
      <c r="A223" t="s">
        <v>633</v>
      </c>
      <c r="B223" t="s">
        <v>9</v>
      </c>
      <c r="C223" t="s">
        <v>634</v>
      </c>
      <c r="E223">
        <v>2299</v>
      </c>
      <c r="F223" t="s">
        <v>11</v>
      </c>
      <c r="G223" t="s">
        <v>11</v>
      </c>
      <c r="H223" t="s">
        <v>12</v>
      </c>
      <c r="I223" t="s">
        <v>575</v>
      </c>
      <c r="J223" t="str">
        <f>HYPERLINK("https://portal.sunwardpharma.com/#/?id=203855&amp;&amp;type=latest", "Click Here")</f>
        <v>Click Here</v>
      </c>
    </row>
    <row r="224" spans="1:10" hidden="1" x14ac:dyDescent="0.3">
      <c r="A224" t="s">
        <v>591</v>
      </c>
      <c r="B224" t="s">
        <v>9</v>
      </c>
      <c r="C224" t="s">
        <v>592</v>
      </c>
      <c r="E224">
        <v>2103</v>
      </c>
      <c r="F224" t="s">
        <v>11</v>
      </c>
      <c r="G224" t="s">
        <v>11</v>
      </c>
      <c r="H224" t="s">
        <v>12</v>
      </c>
      <c r="I224" t="s">
        <v>575</v>
      </c>
      <c r="J224" t="str">
        <f>HYPERLINK("https://portal.sunwardpharma.com/#/?id=203856&amp;&amp;type=latest", "Click Here")</f>
        <v>Click Here</v>
      </c>
    </row>
    <row r="225" spans="1:10" hidden="1" x14ac:dyDescent="0.3">
      <c r="A225" t="s">
        <v>631</v>
      </c>
      <c r="B225" t="s">
        <v>9</v>
      </c>
      <c r="C225" t="s">
        <v>632</v>
      </c>
      <c r="E225">
        <v>2551</v>
      </c>
      <c r="F225" t="s">
        <v>11</v>
      </c>
      <c r="G225" t="s">
        <v>11</v>
      </c>
      <c r="H225" t="s">
        <v>12</v>
      </c>
      <c r="I225" t="s">
        <v>575</v>
      </c>
      <c r="J225" t="str">
        <f>HYPERLINK("https://portal.sunwardpharma.com/#/?id=203857&amp;&amp;type=latest", "Click Here")</f>
        <v>Click Here</v>
      </c>
    </row>
    <row r="226" spans="1:10" hidden="1" x14ac:dyDescent="0.3">
      <c r="A226" t="s">
        <v>675</v>
      </c>
      <c r="B226" t="s">
        <v>9</v>
      </c>
      <c r="C226" t="s">
        <v>676</v>
      </c>
      <c r="E226">
        <v>5262</v>
      </c>
      <c r="F226" t="s">
        <v>11</v>
      </c>
      <c r="G226" t="s">
        <v>11</v>
      </c>
      <c r="H226" t="s">
        <v>12</v>
      </c>
      <c r="I226" t="s">
        <v>575</v>
      </c>
      <c r="J226" t="str">
        <f>HYPERLINK("https://portal.sunwardpharma.com/#/?id=203858&amp;&amp;type=latest", "Click Here")</f>
        <v>Click Here</v>
      </c>
    </row>
    <row r="227" spans="1:10" hidden="1" x14ac:dyDescent="0.3">
      <c r="A227" t="s">
        <v>589</v>
      </c>
      <c r="B227" t="s">
        <v>9</v>
      </c>
      <c r="C227" t="s">
        <v>590</v>
      </c>
      <c r="E227">
        <v>2022</v>
      </c>
      <c r="F227" t="s">
        <v>11</v>
      </c>
      <c r="G227" t="s">
        <v>11</v>
      </c>
      <c r="H227" t="s">
        <v>12</v>
      </c>
      <c r="I227" t="s">
        <v>575</v>
      </c>
      <c r="J227" t="str">
        <f>HYPERLINK("https://portal.sunwardpharma.com/#/?id=203859&amp;&amp;type=latest", "Click Here")</f>
        <v>Click Here</v>
      </c>
    </row>
    <row r="228" spans="1:10" hidden="1" x14ac:dyDescent="0.3">
      <c r="A228" t="s">
        <v>567</v>
      </c>
      <c r="B228" t="s">
        <v>9</v>
      </c>
      <c r="C228" t="s">
        <v>568</v>
      </c>
      <c r="E228">
        <v>1615</v>
      </c>
      <c r="F228" t="s">
        <v>11</v>
      </c>
      <c r="G228" t="s">
        <v>11</v>
      </c>
      <c r="H228" t="s">
        <v>12</v>
      </c>
      <c r="I228" t="s">
        <v>487</v>
      </c>
      <c r="J228" t="str">
        <f>HYPERLINK("https://portal.sunwardpharma.com/#/?id=203860&amp;&amp;type=latest", "Click Here")</f>
        <v>Click Here</v>
      </c>
    </row>
    <row r="229" spans="1:10" hidden="1" x14ac:dyDescent="0.3">
      <c r="A229" t="s">
        <v>533</v>
      </c>
      <c r="B229" t="s">
        <v>9</v>
      </c>
      <c r="C229" t="s">
        <v>534</v>
      </c>
      <c r="E229">
        <v>850</v>
      </c>
      <c r="F229" t="s">
        <v>11</v>
      </c>
      <c r="G229" t="s">
        <v>11</v>
      </c>
      <c r="H229" t="s">
        <v>12</v>
      </c>
      <c r="I229" t="s">
        <v>487</v>
      </c>
      <c r="J229" t="str">
        <f>HYPERLINK("https://portal.sunwardpharma.com/#/?id=203861&amp;&amp;type=latest", "Click Here")</f>
        <v>Click Here</v>
      </c>
    </row>
    <row r="230" spans="1:10" hidden="1" x14ac:dyDescent="0.3">
      <c r="A230" t="s">
        <v>539</v>
      </c>
      <c r="B230" t="s">
        <v>9</v>
      </c>
      <c r="C230" t="s">
        <v>540</v>
      </c>
      <c r="E230">
        <v>801</v>
      </c>
      <c r="F230" t="s">
        <v>11</v>
      </c>
      <c r="G230" t="s">
        <v>11</v>
      </c>
      <c r="H230" t="s">
        <v>12</v>
      </c>
      <c r="I230" t="s">
        <v>487</v>
      </c>
      <c r="J230" t="str">
        <f>HYPERLINK("https://portal.sunwardpharma.com/#/?id=203862&amp;&amp;type=latest", "Click Here")</f>
        <v>Click Here</v>
      </c>
    </row>
    <row r="231" spans="1:10" hidden="1" x14ac:dyDescent="0.3">
      <c r="A231" t="s">
        <v>543</v>
      </c>
      <c r="B231" t="s">
        <v>9</v>
      </c>
      <c r="C231" t="s">
        <v>544</v>
      </c>
      <c r="E231">
        <v>823</v>
      </c>
      <c r="F231" t="s">
        <v>11</v>
      </c>
      <c r="G231" t="s">
        <v>11</v>
      </c>
      <c r="H231" t="s">
        <v>12</v>
      </c>
      <c r="I231" t="s">
        <v>487</v>
      </c>
      <c r="J231" t="str">
        <f>HYPERLINK("https://portal.sunwardpharma.com/#/?id=203863&amp;&amp;type=latest", "Click Here")</f>
        <v>Click Here</v>
      </c>
    </row>
    <row r="232" spans="1:10" hidden="1" x14ac:dyDescent="0.3">
      <c r="A232" t="s">
        <v>519</v>
      </c>
      <c r="B232" t="s">
        <v>9</v>
      </c>
      <c r="C232" t="s">
        <v>520</v>
      </c>
      <c r="E232">
        <v>799</v>
      </c>
      <c r="F232" t="s">
        <v>11</v>
      </c>
      <c r="G232" t="s">
        <v>11</v>
      </c>
      <c r="H232" t="s">
        <v>12</v>
      </c>
      <c r="I232" t="s">
        <v>487</v>
      </c>
      <c r="J232" t="str">
        <f>HYPERLINK("https://portal.sunwardpharma.com/#/?id=203864&amp;&amp;type=latest", "Click Here")</f>
        <v>Click Here</v>
      </c>
    </row>
    <row r="233" spans="1:10" hidden="1" x14ac:dyDescent="0.3">
      <c r="A233" t="s">
        <v>527</v>
      </c>
      <c r="B233" t="s">
        <v>9</v>
      </c>
      <c r="C233" t="s">
        <v>528</v>
      </c>
      <c r="E233">
        <v>770</v>
      </c>
      <c r="F233" t="s">
        <v>11</v>
      </c>
      <c r="G233" t="s">
        <v>11</v>
      </c>
      <c r="H233" t="s">
        <v>12</v>
      </c>
      <c r="I233" t="s">
        <v>487</v>
      </c>
      <c r="J233" t="str">
        <f>HYPERLINK("https://portal.sunwardpharma.com/#/?id=203865&amp;&amp;type=latest", "Click Here")</f>
        <v>Click Here</v>
      </c>
    </row>
    <row r="234" spans="1:10" hidden="1" x14ac:dyDescent="0.3">
      <c r="A234" t="s">
        <v>535</v>
      </c>
      <c r="B234" t="s">
        <v>9</v>
      </c>
      <c r="C234" t="s">
        <v>536</v>
      </c>
      <c r="E234">
        <v>776</v>
      </c>
      <c r="F234" t="s">
        <v>11</v>
      </c>
      <c r="G234" t="s">
        <v>11</v>
      </c>
      <c r="H234" t="s">
        <v>12</v>
      </c>
      <c r="I234" t="s">
        <v>487</v>
      </c>
      <c r="J234" t="str">
        <f>HYPERLINK("https://portal.sunwardpharma.com/#/?id=203866&amp;&amp;type=latest", "Click Here")</f>
        <v>Click Here</v>
      </c>
    </row>
    <row r="235" spans="1:10" hidden="1" x14ac:dyDescent="0.3">
      <c r="A235" t="s">
        <v>523</v>
      </c>
      <c r="B235" t="s">
        <v>9</v>
      </c>
      <c r="C235" t="s">
        <v>524</v>
      </c>
      <c r="E235">
        <v>798</v>
      </c>
      <c r="F235" t="s">
        <v>11</v>
      </c>
      <c r="G235" t="s">
        <v>11</v>
      </c>
      <c r="H235" t="s">
        <v>12</v>
      </c>
      <c r="I235" t="s">
        <v>487</v>
      </c>
      <c r="J235" t="str">
        <f>HYPERLINK("https://portal.sunwardpharma.com/#/?id=203867&amp;&amp;type=latest", "Click Here")</f>
        <v>Click Here</v>
      </c>
    </row>
    <row r="236" spans="1:10" hidden="1" x14ac:dyDescent="0.3">
      <c r="A236" t="s">
        <v>488</v>
      </c>
      <c r="B236" t="s">
        <v>9</v>
      </c>
      <c r="C236" t="s">
        <v>489</v>
      </c>
      <c r="E236">
        <v>548</v>
      </c>
      <c r="F236" t="s">
        <v>11</v>
      </c>
      <c r="G236" t="s">
        <v>11</v>
      </c>
      <c r="H236" t="s">
        <v>12</v>
      </c>
      <c r="I236" t="s">
        <v>487</v>
      </c>
      <c r="J236" t="str">
        <f>HYPERLINK("https://portal.sunwardpharma.com/#/?id=203868&amp;&amp;type=latest", "Click Here")</f>
        <v>Click Here</v>
      </c>
    </row>
    <row r="237" spans="1:10" hidden="1" x14ac:dyDescent="0.3">
      <c r="A237" t="s">
        <v>490</v>
      </c>
      <c r="B237" t="s">
        <v>9</v>
      </c>
      <c r="C237" t="s">
        <v>491</v>
      </c>
      <c r="E237">
        <v>546</v>
      </c>
      <c r="F237" t="s">
        <v>11</v>
      </c>
      <c r="G237" t="s">
        <v>11</v>
      </c>
      <c r="H237" t="s">
        <v>12</v>
      </c>
      <c r="I237" t="s">
        <v>487</v>
      </c>
      <c r="J237" t="str">
        <f>HYPERLINK("https://portal.sunwardpharma.com/#/?id=203869&amp;&amp;type=latest", "Click Here")</f>
        <v>Click Here</v>
      </c>
    </row>
    <row r="238" spans="1:10" hidden="1" x14ac:dyDescent="0.3">
      <c r="A238" t="s">
        <v>551</v>
      </c>
      <c r="B238" t="s">
        <v>9</v>
      </c>
      <c r="C238" t="s">
        <v>552</v>
      </c>
      <c r="E238">
        <v>819</v>
      </c>
      <c r="F238" t="s">
        <v>11</v>
      </c>
      <c r="G238" t="s">
        <v>11</v>
      </c>
      <c r="H238" t="s">
        <v>12</v>
      </c>
      <c r="I238" t="s">
        <v>487</v>
      </c>
      <c r="J238" t="str">
        <f>HYPERLINK("https://portal.sunwardpharma.com/#/?id=203870&amp;&amp;type=latest", "Click Here")</f>
        <v>Click Here</v>
      </c>
    </row>
    <row r="239" spans="1:10" hidden="1" x14ac:dyDescent="0.3">
      <c r="A239" t="s">
        <v>517</v>
      </c>
      <c r="B239" t="s">
        <v>9</v>
      </c>
      <c r="C239" t="s">
        <v>518</v>
      </c>
      <c r="E239">
        <v>842</v>
      </c>
      <c r="F239" t="s">
        <v>11</v>
      </c>
      <c r="G239" t="s">
        <v>11</v>
      </c>
      <c r="H239" t="s">
        <v>12</v>
      </c>
      <c r="I239" t="s">
        <v>487</v>
      </c>
      <c r="J239" t="str">
        <f>HYPERLINK("https://portal.sunwardpharma.com/#/?id=203871&amp;&amp;type=latest", "Click Here")</f>
        <v>Click Here</v>
      </c>
    </row>
    <row r="240" spans="1:10" hidden="1" x14ac:dyDescent="0.3">
      <c r="A240" t="s">
        <v>485</v>
      </c>
      <c r="B240" t="s">
        <v>9</v>
      </c>
      <c r="C240" t="s">
        <v>486</v>
      </c>
      <c r="E240">
        <v>558</v>
      </c>
      <c r="F240" t="s">
        <v>11</v>
      </c>
      <c r="G240" t="s">
        <v>11</v>
      </c>
      <c r="H240" t="s">
        <v>12</v>
      </c>
      <c r="I240" t="s">
        <v>487</v>
      </c>
      <c r="J240" t="str">
        <f>HYPERLINK("https://portal.sunwardpharma.com/#/?id=203872&amp;&amp;type=latest", "Click Here")</f>
        <v>Click Here</v>
      </c>
    </row>
    <row r="241" spans="1:10" hidden="1" x14ac:dyDescent="0.3">
      <c r="A241" t="s">
        <v>647</v>
      </c>
      <c r="B241" t="s">
        <v>9</v>
      </c>
      <c r="C241" t="s">
        <v>648</v>
      </c>
      <c r="E241">
        <v>2601</v>
      </c>
      <c r="F241" t="s">
        <v>11</v>
      </c>
      <c r="G241" t="s">
        <v>11</v>
      </c>
      <c r="H241" t="s">
        <v>12</v>
      </c>
      <c r="I241" t="s">
        <v>575</v>
      </c>
      <c r="J241" t="str">
        <f>HYPERLINK("https://portal.sunwardpharma.com/#/?id=203873&amp;&amp;type=latest", "Click Here")</f>
        <v>Click Here</v>
      </c>
    </row>
    <row r="242" spans="1:10" hidden="1" x14ac:dyDescent="0.3">
      <c r="A242" t="s">
        <v>595</v>
      </c>
      <c r="B242" t="s">
        <v>9</v>
      </c>
      <c r="C242" t="s">
        <v>596</v>
      </c>
      <c r="E242">
        <v>2382</v>
      </c>
      <c r="F242" t="s">
        <v>11</v>
      </c>
      <c r="G242" t="s">
        <v>11</v>
      </c>
      <c r="H242" t="s">
        <v>12</v>
      </c>
      <c r="I242" t="s">
        <v>575</v>
      </c>
      <c r="J242" t="str">
        <f>HYPERLINK("https://portal.sunwardpharma.com/#/?id=203874&amp;&amp;type=latest", "Click Here")</f>
        <v>Click Here</v>
      </c>
    </row>
    <row r="243" spans="1:10" hidden="1" x14ac:dyDescent="0.3">
      <c r="A243" t="s">
        <v>585</v>
      </c>
      <c r="B243" t="s">
        <v>9</v>
      </c>
      <c r="C243" t="s">
        <v>586</v>
      </c>
      <c r="E243">
        <v>2048</v>
      </c>
      <c r="F243" t="s">
        <v>11</v>
      </c>
      <c r="G243" t="s">
        <v>11</v>
      </c>
      <c r="H243" t="s">
        <v>12</v>
      </c>
      <c r="I243" t="s">
        <v>575</v>
      </c>
      <c r="J243" t="str">
        <f>HYPERLINK("https://portal.sunwardpharma.com/#/?id=203875&amp;&amp;type=latest", "Click Here")</f>
        <v>Click Here</v>
      </c>
    </row>
    <row r="244" spans="1:10" hidden="1" x14ac:dyDescent="0.3">
      <c r="A244" t="s">
        <v>667</v>
      </c>
      <c r="B244" t="s">
        <v>9</v>
      </c>
      <c r="C244" t="s">
        <v>668</v>
      </c>
      <c r="E244">
        <v>2947</v>
      </c>
      <c r="F244" t="s">
        <v>11</v>
      </c>
      <c r="G244" t="s">
        <v>11</v>
      </c>
      <c r="H244" t="s">
        <v>12</v>
      </c>
      <c r="I244" t="s">
        <v>575</v>
      </c>
      <c r="J244" t="str">
        <f>HYPERLINK("https://portal.sunwardpharma.com/#/?id=203876&amp;&amp;type=latest", "Click Here")</f>
        <v>Click Here</v>
      </c>
    </row>
    <row r="245" spans="1:10" hidden="1" x14ac:dyDescent="0.3">
      <c r="A245" t="s">
        <v>639</v>
      </c>
      <c r="B245" t="s">
        <v>9</v>
      </c>
      <c r="C245" t="s">
        <v>640</v>
      </c>
      <c r="E245">
        <v>2799</v>
      </c>
      <c r="F245" t="s">
        <v>11</v>
      </c>
      <c r="G245" t="s">
        <v>11</v>
      </c>
      <c r="H245" t="s">
        <v>12</v>
      </c>
      <c r="I245" t="s">
        <v>575</v>
      </c>
      <c r="J245" t="str">
        <f>HYPERLINK("https://portal.sunwardpharma.com/#/?id=203878&amp;&amp;type=latest", "Click Here")</f>
        <v>Click Here</v>
      </c>
    </row>
    <row r="246" spans="1:10" hidden="1" x14ac:dyDescent="0.3">
      <c r="A246" t="s">
        <v>581</v>
      </c>
      <c r="B246" t="s">
        <v>9</v>
      </c>
      <c r="C246" t="s">
        <v>582</v>
      </c>
      <c r="E246">
        <v>2135</v>
      </c>
      <c r="F246" t="s">
        <v>11</v>
      </c>
      <c r="G246" t="s">
        <v>11</v>
      </c>
      <c r="H246" t="s">
        <v>12</v>
      </c>
      <c r="I246" t="s">
        <v>575</v>
      </c>
      <c r="J246" t="str">
        <f>HYPERLINK("https://portal.sunwardpharma.com/#/?id=203879&amp;&amp;type=latest", "Click Here")</f>
        <v>Click Here</v>
      </c>
    </row>
    <row r="247" spans="1:10" hidden="1" x14ac:dyDescent="0.3">
      <c r="A247" t="s">
        <v>629</v>
      </c>
      <c r="B247" t="s">
        <v>9</v>
      </c>
      <c r="C247" t="s">
        <v>630</v>
      </c>
      <c r="E247">
        <v>2378</v>
      </c>
      <c r="F247" t="s">
        <v>11</v>
      </c>
      <c r="G247" t="s">
        <v>11</v>
      </c>
      <c r="H247" t="s">
        <v>12</v>
      </c>
      <c r="I247" t="s">
        <v>575</v>
      </c>
      <c r="J247" t="str">
        <f>HYPERLINK("https://portal.sunwardpharma.com/#/?id=203880&amp;&amp;type=latest", "Click Here")</f>
        <v>Click Here</v>
      </c>
    </row>
    <row r="248" spans="1:10" hidden="1" x14ac:dyDescent="0.3">
      <c r="A248" t="s">
        <v>565</v>
      </c>
      <c r="B248" t="s">
        <v>9</v>
      </c>
      <c r="C248" t="s">
        <v>566</v>
      </c>
      <c r="E248">
        <v>1672</v>
      </c>
      <c r="F248" t="s">
        <v>11</v>
      </c>
      <c r="G248" t="s">
        <v>11</v>
      </c>
      <c r="H248" t="s">
        <v>12</v>
      </c>
      <c r="I248" t="s">
        <v>487</v>
      </c>
      <c r="J248" t="str">
        <f>HYPERLINK("https://portal.sunwardpharma.com/#/?id=203881&amp;&amp;type=latest", "Click Here")</f>
        <v>Click Here</v>
      </c>
    </row>
    <row r="249" spans="1:10" hidden="1" x14ac:dyDescent="0.3">
      <c r="A249" t="s">
        <v>563</v>
      </c>
      <c r="B249" t="s">
        <v>9</v>
      </c>
      <c r="C249" t="s">
        <v>564</v>
      </c>
      <c r="E249">
        <v>1519</v>
      </c>
      <c r="F249" t="s">
        <v>11</v>
      </c>
      <c r="G249" t="s">
        <v>11</v>
      </c>
      <c r="H249" t="s">
        <v>12</v>
      </c>
      <c r="I249" t="s">
        <v>487</v>
      </c>
      <c r="J249" t="str">
        <f>HYPERLINK("https://portal.sunwardpharma.com/#/?id=214920&amp;&amp;type=latest", "Click Here")</f>
        <v>Click Here</v>
      </c>
    </row>
    <row r="250" spans="1:10" hidden="1" x14ac:dyDescent="0.3">
      <c r="A250" t="s">
        <v>583</v>
      </c>
      <c r="B250" t="s">
        <v>9</v>
      </c>
      <c r="C250" t="s">
        <v>584</v>
      </c>
      <c r="E250">
        <v>1660</v>
      </c>
      <c r="F250" t="s">
        <v>11</v>
      </c>
      <c r="G250" t="s">
        <v>11</v>
      </c>
      <c r="H250" t="s">
        <v>12</v>
      </c>
      <c r="I250" t="s">
        <v>575</v>
      </c>
      <c r="J250" t="str">
        <f>HYPERLINK("https://portal.sunwardpharma.com/#/?id=214921&amp;&amp;type=latest", "Click Here")</f>
        <v>Click Here</v>
      </c>
    </row>
    <row r="251" spans="1:10" hidden="1" x14ac:dyDescent="0.3">
      <c r="A251" t="s">
        <v>653</v>
      </c>
      <c r="B251" t="s">
        <v>9</v>
      </c>
      <c r="C251" t="s">
        <v>654</v>
      </c>
      <c r="E251">
        <v>3055</v>
      </c>
      <c r="F251" t="s">
        <v>11</v>
      </c>
      <c r="G251" t="s">
        <v>11</v>
      </c>
      <c r="H251" t="s">
        <v>12</v>
      </c>
      <c r="I251" t="s">
        <v>575</v>
      </c>
      <c r="J251" t="str">
        <f>HYPERLINK("https://portal.sunwardpharma.com/#/?id=214922&amp;&amp;type=latest", "Click Here")</f>
        <v>Click Here</v>
      </c>
    </row>
    <row r="252" spans="1:10" hidden="1" x14ac:dyDescent="0.3">
      <c r="A252" t="s">
        <v>573</v>
      </c>
      <c r="B252" t="s">
        <v>9</v>
      </c>
      <c r="C252" t="s">
        <v>574</v>
      </c>
      <c r="E252">
        <v>1706</v>
      </c>
      <c r="F252" t="s">
        <v>11</v>
      </c>
      <c r="G252" t="s">
        <v>11</v>
      </c>
      <c r="H252" t="s">
        <v>12</v>
      </c>
      <c r="I252" t="s">
        <v>575</v>
      </c>
      <c r="J252" t="str">
        <f>HYPERLINK("https://portal.sunwardpharma.com/#/?id=214923&amp;&amp;type=latest", "Click Here")</f>
        <v>Click Here</v>
      </c>
    </row>
    <row r="253" spans="1:10" hidden="1" x14ac:dyDescent="0.3">
      <c r="A253" t="s">
        <v>645</v>
      </c>
      <c r="B253" t="s">
        <v>9</v>
      </c>
      <c r="C253" t="s">
        <v>646</v>
      </c>
      <c r="E253">
        <v>2890</v>
      </c>
      <c r="F253" t="s">
        <v>11</v>
      </c>
      <c r="G253" t="s">
        <v>11</v>
      </c>
      <c r="H253" t="s">
        <v>12</v>
      </c>
      <c r="I253" t="s">
        <v>575</v>
      </c>
      <c r="J253" t="str">
        <f>HYPERLINK("https://portal.sunwardpharma.com/#/?id=214924&amp;&amp;type=latest", "Click Here")</f>
        <v>Click Here</v>
      </c>
    </row>
    <row r="254" spans="1:10" hidden="1" x14ac:dyDescent="0.3">
      <c r="A254" t="s">
        <v>557</v>
      </c>
      <c r="B254" t="s">
        <v>9</v>
      </c>
      <c r="C254" t="s">
        <v>558</v>
      </c>
      <c r="E254">
        <v>1162</v>
      </c>
      <c r="F254" t="s">
        <v>11</v>
      </c>
      <c r="G254" t="s">
        <v>11</v>
      </c>
      <c r="H254" t="s">
        <v>12</v>
      </c>
      <c r="I254" t="s">
        <v>487</v>
      </c>
      <c r="J254" t="str">
        <f>HYPERLINK("https://portal.sunwardpharma.com/#/?id=214925&amp;&amp;type=latest", "Click Here")</f>
        <v>Click Here</v>
      </c>
    </row>
    <row r="255" spans="1:10" hidden="1" x14ac:dyDescent="0.3">
      <c r="A255" t="s">
        <v>569</v>
      </c>
      <c r="B255" t="s">
        <v>9</v>
      </c>
      <c r="C255" t="s">
        <v>570</v>
      </c>
      <c r="E255">
        <v>1626</v>
      </c>
      <c r="F255" t="s">
        <v>11</v>
      </c>
      <c r="G255" t="s">
        <v>11</v>
      </c>
      <c r="H255" t="s">
        <v>12</v>
      </c>
      <c r="I255" t="s">
        <v>487</v>
      </c>
      <c r="J255" t="str">
        <f>HYPERLINK("https://portal.sunwardpharma.com/#/?id=214926&amp;&amp;type=latest", "Click Here")</f>
        <v>Click Here</v>
      </c>
    </row>
    <row r="256" spans="1:10" hidden="1" x14ac:dyDescent="0.3">
      <c r="A256" t="s">
        <v>555</v>
      </c>
      <c r="B256" t="s">
        <v>9</v>
      </c>
      <c r="C256" t="s">
        <v>556</v>
      </c>
      <c r="E256">
        <v>1131</v>
      </c>
      <c r="F256" t="s">
        <v>11</v>
      </c>
      <c r="G256" t="s">
        <v>11</v>
      </c>
      <c r="H256" t="s">
        <v>12</v>
      </c>
      <c r="I256" t="s">
        <v>487</v>
      </c>
      <c r="J256" t="str">
        <f>HYPERLINK("https://portal.sunwardpharma.com/#/?id=214927&amp;&amp;type=latest", "Click Here")</f>
        <v>Click Here</v>
      </c>
    </row>
    <row r="257" spans="1:10" hidden="1" x14ac:dyDescent="0.3">
      <c r="A257" t="s">
        <v>593</v>
      </c>
      <c r="B257" t="s">
        <v>9</v>
      </c>
      <c r="C257" t="s">
        <v>594</v>
      </c>
      <c r="E257">
        <v>1973</v>
      </c>
      <c r="F257" t="s">
        <v>11</v>
      </c>
      <c r="G257" t="s">
        <v>11</v>
      </c>
      <c r="H257" t="s">
        <v>12</v>
      </c>
      <c r="I257" t="s">
        <v>575</v>
      </c>
      <c r="J257" t="str">
        <f>HYPERLINK("https://portal.sunwardpharma.com/#/?id=214928&amp;&amp;type=latest", "Click Here")</f>
        <v>Click Here</v>
      </c>
    </row>
    <row r="258" spans="1:10" hidden="1" x14ac:dyDescent="0.3">
      <c r="A258" t="s">
        <v>601</v>
      </c>
      <c r="B258" t="s">
        <v>9</v>
      </c>
      <c r="C258" t="s">
        <v>602</v>
      </c>
      <c r="E258">
        <v>2316</v>
      </c>
      <c r="F258" t="s">
        <v>11</v>
      </c>
      <c r="G258" t="s">
        <v>11</v>
      </c>
      <c r="H258" t="s">
        <v>12</v>
      </c>
      <c r="I258" t="s">
        <v>575</v>
      </c>
      <c r="J258" t="str">
        <f>HYPERLINK("https://portal.sunwardpharma.com/#/?id=214929&amp;&amp;type=latest", "Click Here")</f>
        <v>Click Here</v>
      </c>
    </row>
    <row r="259" spans="1:10" hidden="1" x14ac:dyDescent="0.3">
      <c r="A259" t="s">
        <v>547</v>
      </c>
      <c r="B259" t="s">
        <v>9</v>
      </c>
      <c r="C259" t="s">
        <v>548</v>
      </c>
      <c r="E259">
        <v>917</v>
      </c>
      <c r="F259" t="s">
        <v>11</v>
      </c>
      <c r="G259" t="s">
        <v>11</v>
      </c>
      <c r="H259" t="s">
        <v>12</v>
      </c>
      <c r="I259" t="s">
        <v>487</v>
      </c>
      <c r="J259" t="str">
        <f>HYPERLINK("https://portal.sunwardpharma.com/#/?id=214930&amp;&amp;type=latest", "Click Here")</f>
        <v>Click Here</v>
      </c>
    </row>
    <row r="260" spans="1:10" hidden="1" x14ac:dyDescent="0.3">
      <c r="A260" t="s">
        <v>576</v>
      </c>
      <c r="B260" t="s">
        <v>9</v>
      </c>
      <c r="C260" t="s">
        <v>577</v>
      </c>
      <c r="E260">
        <v>1586</v>
      </c>
      <c r="F260" t="s">
        <v>11</v>
      </c>
      <c r="G260" t="s">
        <v>11</v>
      </c>
      <c r="H260" t="s">
        <v>12</v>
      </c>
      <c r="I260" t="s">
        <v>575</v>
      </c>
      <c r="J260" t="str">
        <f>HYPERLINK("https://portal.sunwardpharma.com/#/?id=214931&amp;&amp;type=latest", "Click Here")</f>
        <v>Click Here</v>
      </c>
    </row>
    <row r="261" spans="1:10" hidden="1" x14ac:dyDescent="0.3">
      <c r="A261" t="s">
        <v>492</v>
      </c>
      <c r="B261" t="s">
        <v>9</v>
      </c>
      <c r="C261" t="s">
        <v>493</v>
      </c>
      <c r="E261">
        <v>506</v>
      </c>
      <c r="F261" t="s">
        <v>11</v>
      </c>
      <c r="G261" t="s">
        <v>11</v>
      </c>
      <c r="H261" t="s">
        <v>12</v>
      </c>
      <c r="I261" t="s">
        <v>487</v>
      </c>
      <c r="J261" t="str">
        <f>HYPERLINK("https://portal.sunwardpharma.com/#/?id=214932&amp;&amp;type=latest", "Click Here")</f>
        <v>Click Here</v>
      </c>
    </row>
    <row r="262" spans="1:10" hidden="1" x14ac:dyDescent="0.3">
      <c r="A262" t="s">
        <v>727</v>
      </c>
      <c r="B262" t="s">
        <v>9</v>
      </c>
      <c r="C262" t="s">
        <v>728</v>
      </c>
      <c r="E262">
        <v>1870</v>
      </c>
      <c r="F262" t="s">
        <v>11</v>
      </c>
      <c r="G262" t="s">
        <v>11</v>
      </c>
      <c r="H262" t="s">
        <v>12</v>
      </c>
      <c r="I262" t="s">
        <v>708</v>
      </c>
      <c r="J262" t="str">
        <f>HYPERLINK("https://portal.sunwardpharma.com/#/?id=214933&amp;&amp;type=latest", "Click Here")</f>
        <v>Click Here</v>
      </c>
    </row>
    <row r="263" spans="1:10" hidden="1" x14ac:dyDescent="0.3">
      <c r="A263" t="s">
        <v>739</v>
      </c>
      <c r="B263" t="s">
        <v>9</v>
      </c>
      <c r="C263" t="s">
        <v>740</v>
      </c>
      <c r="E263">
        <v>2873</v>
      </c>
      <c r="F263" t="s">
        <v>11</v>
      </c>
      <c r="G263" t="s">
        <v>11</v>
      </c>
      <c r="H263" t="s">
        <v>12</v>
      </c>
      <c r="I263" t="s">
        <v>708</v>
      </c>
      <c r="J263" t="str">
        <f>HYPERLINK("https://portal.sunwardpharma.com/#/?id=214934&amp;&amp;type=latest", "Click Here")</f>
        <v>Click Here</v>
      </c>
    </row>
    <row r="264" spans="1:10" hidden="1" x14ac:dyDescent="0.3">
      <c r="A264" t="s">
        <v>741</v>
      </c>
      <c r="B264" t="s">
        <v>9</v>
      </c>
      <c r="C264" t="s">
        <v>742</v>
      </c>
      <c r="E264">
        <v>2798</v>
      </c>
      <c r="F264" t="s">
        <v>11</v>
      </c>
      <c r="G264" t="s">
        <v>11</v>
      </c>
      <c r="H264" t="s">
        <v>12</v>
      </c>
      <c r="I264" t="s">
        <v>708</v>
      </c>
      <c r="J264" t="str">
        <f>HYPERLINK("https://portal.sunwardpharma.com/#/?id=214935&amp;&amp;type=latest", "Click Here")</f>
        <v>Click Here</v>
      </c>
    </row>
    <row r="265" spans="1:10" hidden="1" x14ac:dyDescent="0.3">
      <c r="A265" t="s">
        <v>735</v>
      </c>
      <c r="B265" t="s">
        <v>9</v>
      </c>
      <c r="C265" t="s">
        <v>736</v>
      </c>
      <c r="E265">
        <v>2786</v>
      </c>
      <c r="F265" t="s">
        <v>11</v>
      </c>
      <c r="G265" t="s">
        <v>11</v>
      </c>
      <c r="H265" t="s">
        <v>12</v>
      </c>
      <c r="I265" t="s">
        <v>708</v>
      </c>
      <c r="J265" t="str">
        <f>HYPERLINK("https://portal.sunwardpharma.com/#/?id=214936&amp;&amp;type=latest", "Click Here")</f>
        <v>Click Here</v>
      </c>
    </row>
    <row r="266" spans="1:10" hidden="1" x14ac:dyDescent="0.3">
      <c r="A266" t="s">
        <v>733</v>
      </c>
      <c r="B266" t="s">
        <v>9</v>
      </c>
      <c r="C266" t="s">
        <v>734</v>
      </c>
      <c r="E266">
        <v>2795</v>
      </c>
      <c r="F266" t="s">
        <v>11</v>
      </c>
      <c r="G266" t="s">
        <v>11</v>
      </c>
      <c r="H266" t="s">
        <v>12</v>
      </c>
      <c r="I266" t="s">
        <v>708</v>
      </c>
      <c r="J266" t="str">
        <f>HYPERLINK("https://portal.sunwardpharma.com/#/?id=214937&amp;&amp;type=latest", "Click Here")</f>
        <v>Click Here</v>
      </c>
    </row>
    <row r="267" spans="1:10" hidden="1" x14ac:dyDescent="0.3">
      <c r="A267" t="s">
        <v>745</v>
      </c>
      <c r="B267" t="s">
        <v>9</v>
      </c>
      <c r="C267" t="s">
        <v>746</v>
      </c>
      <c r="E267">
        <v>2900</v>
      </c>
      <c r="F267" t="s">
        <v>11</v>
      </c>
      <c r="G267" t="s">
        <v>11</v>
      </c>
      <c r="H267" t="s">
        <v>12</v>
      </c>
      <c r="I267" t="s">
        <v>708</v>
      </c>
      <c r="J267" t="str">
        <f>HYPERLINK("https://portal.sunwardpharma.com/#/?id=214938&amp;&amp;type=latest", "Click Here")</f>
        <v>Click Here</v>
      </c>
    </row>
    <row r="268" spans="1:10" hidden="1" x14ac:dyDescent="0.3">
      <c r="A268" t="s">
        <v>755</v>
      </c>
      <c r="B268" t="s">
        <v>9</v>
      </c>
      <c r="C268" t="s">
        <v>756</v>
      </c>
      <c r="E268">
        <v>3770</v>
      </c>
      <c r="F268" t="s">
        <v>11</v>
      </c>
      <c r="G268" t="s">
        <v>11</v>
      </c>
      <c r="H268" t="s">
        <v>12</v>
      </c>
      <c r="I268" t="s">
        <v>708</v>
      </c>
      <c r="J268" t="str">
        <f>HYPERLINK("https://portal.sunwardpharma.com/#/?id=214939&amp;&amp;type=latest", "Click Here")</f>
        <v>Click Here</v>
      </c>
    </row>
    <row r="269" spans="1:10" hidden="1" x14ac:dyDescent="0.3">
      <c r="A269" t="s">
        <v>753</v>
      </c>
      <c r="B269" t="s">
        <v>9</v>
      </c>
      <c r="C269" t="s">
        <v>754</v>
      </c>
      <c r="E269">
        <v>3881</v>
      </c>
      <c r="F269" t="s">
        <v>11</v>
      </c>
      <c r="G269" t="s">
        <v>11</v>
      </c>
      <c r="H269" t="s">
        <v>12</v>
      </c>
      <c r="I269" t="s">
        <v>708</v>
      </c>
      <c r="J269" t="str">
        <f>HYPERLINK("https://portal.sunwardpharma.com/#/?id=214940&amp;&amp;type=latest", "Click Here")</f>
        <v>Click Here</v>
      </c>
    </row>
    <row r="270" spans="1:10" hidden="1" x14ac:dyDescent="0.3">
      <c r="A270" t="s">
        <v>743</v>
      </c>
      <c r="B270" t="s">
        <v>9</v>
      </c>
      <c r="C270" t="s">
        <v>744</v>
      </c>
      <c r="E270">
        <v>2923</v>
      </c>
      <c r="F270" t="s">
        <v>11</v>
      </c>
      <c r="G270" t="s">
        <v>11</v>
      </c>
      <c r="H270" t="s">
        <v>12</v>
      </c>
      <c r="I270" t="s">
        <v>708</v>
      </c>
      <c r="J270" t="str">
        <f>HYPERLINK("https://portal.sunwardpharma.com/#/?id=203882&amp;&amp;type=latest", "Click Here")</f>
        <v>Click Here</v>
      </c>
    </row>
    <row r="271" spans="1:10" hidden="1" x14ac:dyDescent="0.3">
      <c r="A271" t="s">
        <v>737</v>
      </c>
      <c r="B271" t="s">
        <v>9</v>
      </c>
      <c r="C271" t="s">
        <v>738</v>
      </c>
      <c r="E271">
        <v>2633</v>
      </c>
      <c r="F271" t="s">
        <v>11</v>
      </c>
      <c r="G271" t="s">
        <v>11</v>
      </c>
      <c r="H271" t="s">
        <v>12</v>
      </c>
      <c r="I271" t="s">
        <v>708</v>
      </c>
      <c r="J271" t="str">
        <f>HYPERLINK("https://portal.sunwardpharma.com/#/?id=203883&amp;&amp;type=latest", "Click Here")</f>
        <v>Click Here</v>
      </c>
    </row>
    <row r="272" spans="1:10" hidden="1" x14ac:dyDescent="0.3">
      <c r="A272" t="s">
        <v>749</v>
      </c>
      <c r="B272" t="s">
        <v>9</v>
      </c>
      <c r="C272" t="s">
        <v>750</v>
      </c>
      <c r="E272">
        <v>2773</v>
      </c>
      <c r="F272" t="s">
        <v>11</v>
      </c>
      <c r="G272" t="s">
        <v>11</v>
      </c>
      <c r="H272" t="s">
        <v>12</v>
      </c>
      <c r="I272" t="s">
        <v>708</v>
      </c>
      <c r="J272" t="str">
        <f>HYPERLINK("https://portal.sunwardpharma.com/#/?id=203884&amp;&amp;type=latest", "Click Here")</f>
        <v>Click Here</v>
      </c>
    </row>
    <row r="273" spans="1:10" hidden="1" x14ac:dyDescent="0.3">
      <c r="A273" t="s">
        <v>723</v>
      </c>
      <c r="B273" t="s">
        <v>9</v>
      </c>
      <c r="C273" t="s">
        <v>724</v>
      </c>
      <c r="E273">
        <v>1904</v>
      </c>
      <c r="F273" t="s">
        <v>11</v>
      </c>
      <c r="G273" t="s">
        <v>11</v>
      </c>
      <c r="H273" t="s">
        <v>12</v>
      </c>
      <c r="I273" t="s">
        <v>708</v>
      </c>
      <c r="J273" t="str">
        <f>HYPERLINK("https://portal.sunwardpharma.com/#/?id=203885&amp;&amp;type=latest", "Click Here")</f>
        <v>Click Here</v>
      </c>
    </row>
    <row r="274" spans="1:10" hidden="1" x14ac:dyDescent="0.3">
      <c r="A274" t="s">
        <v>719</v>
      </c>
      <c r="B274" t="s">
        <v>9</v>
      </c>
      <c r="C274" t="s">
        <v>720</v>
      </c>
      <c r="E274">
        <v>1222</v>
      </c>
      <c r="F274" t="s">
        <v>11</v>
      </c>
      <c r="G274" t="s">
        <v>11</v>
      </c>
      <c r="H274" t="s">
        <v>12</v>
      </c>
      <c r="I274" t="s">
        <v>708</v>
      </c>
      <c r="J274" t="str">
        <f>HYPERLINK("https://portal.sunwardpharma.com/#/?id=203886&amp;&amp;type=latest", "Click Here")</f>
        <v>Click Here</v>
      </c>
    </row>
    <row r="275" spans="1:10" hidden="1" x14ac:dyDescent="0.3">
      <c r="A275" t="s">
        <v>725</v>
      </c>
      <c r="B275" t="s">
        <v>9</v>
      </c>
      <c r="C275" t="s">
        <v>726</v>
      </c>
      <c r="E275">
        <v>1653</v>
      </c>
      <c r="F275" t="s">
        <v>11</v>
      </c>
      <c r="G275" t="s">
        <v>11</v>
      </c>
      <c r="H275" t="s">
        <v>12</v>
      </c>
      <c r="I275" t="s">
        <v>708</v>
      </c>
      <c r="J275" t="str">
        <f>HYPERLINK("https://portal.sunwardpharma.com/#/?id=203887&amp;&amp;type=latest", "Click Here")</f>
        <v>Click Here</v>
      </c>
    </row>
    <row r="276" spans="1:10" hidden="1" x14ac:dyDescent="0.3">
      <c r="A276" t="s">
        <v>757</v>
      </c>
      <c r="B276" t="s">
        <v>9</v>
      </c>
      <c r="C276" t="s">
        <v>758</v>
      </c>
      <c r="E276">
        <v>13022</v>
      </c>
      <c r="F276" t="s">
        <v>11</v>
      </c>
      <c r="G276" t="s">
        <v>11</v>
      </c>
      <c r="H276" t="s">
        <v>12</v>
      </c>
      <c r="I276" t="s">
        <v>708</v>
      </c>
      <c r="J276" t="str">
        <f>HYPERLINK("https://portal.sunwardpharma.com/#/?id=203888&amp;&amp;type=latest", "Click Here")</f>
        <v>Click Here</v>
      </c>
    </row>
    <row r="277" spans="1:10" hidden="1" x14ac:dyDescent="0.3">
      <c r="A277" t="s">
        <v>698</v>
      </c>
      <c r="B277" t="s">
        <v>9</v>
      </c>
      <c r="C277" t="s">
        <v>699</v>
      </c>
      <c r="E277">
        <v>860</v>
      </c>
      <c r="F277" t="s">
        <v>11</v>
      </c>
      <c r="G277" t="s">
        <v>11</v>
      </c>
      <c r="H277" t="s">
        <v>12</v>
      </c>
      <c r="I277" t="s">
        <v>679</v>
      </c>
      <c r="J277" t="str">
        <f>HYPERLINK("https://portal.sunwardpharma.com/#/?id=203889&amp;&amp;type=latest", "Click Here")</f>
        <v>Click Here</v>
      </c>
    </row>
    <row r="278" spans="1:10" hidden="1" x14ac:dyDescent="0.3">
      <c r="A278" t="s">
        <v>692</v>
      </c>
      <c r="B278" t="s">
        <v>9</v>
      </c>
      <c r="C278" t="s">
        <v>693</v>
      </c>
      <c r="E278">
        <v>799</v>
      </c>
      <c r="F278" t="s">
        <v>11</v>
      </c>
      <c r="G278" t="s">
        <v>11</v>
      </c>
      <c r="H278" t="s">
        <v>12</v>
      </c>
      <c r="I278" t="s">
        <v>679</v>
      </c>
      <c r="J278" t="str">
        <f>HYPERLINK("https://portal.sunwardpharma.com/#/?id=203890&amp;&amp;type=latest", "Click Here")</f>
        <v>Click Here</v>
      </c>
    </row>
    <row r="279" spans="1:10" hidden="1" x14ac:dyDescent="0.3">
      <c r="A279" t="s">
        <v>751</v>
      </c>
      <c r="B279" t="s">
        <v>9</v>
      </c>
      <c r="C279" t="s">
        <v>752</v>
      </c>
      <c r="E279">
        <v>3588</v>
      </c>
      <c r="F279" t="s">
        <v>11</v>
      </c>
      <c r="G279" t="s">
        <v>11</v>
      </c>
      <c r="H279" t="s">
        <v>12</v>
      </c>
      <c r="I279" t="s">
        <v>708</v>
      </c>
      <c r="J279" t="str">
        <f>HYPERLINK("https://portal.sunwardpharma.com/#/?id=203891&amp;&amp;type=latest", "Click Here")</f>
        <v>Click Here</v>
      </c>
    </row>
    <row r="280" spans="1:10" hidden="1" x14ac:dyDescent="0.3">
      <c r="A280" t="s">
        <v>711</v>
      </c>
      <c r="B280" t="s">
        <v>9</v>
      </c>
      <c r="C280" t="s">
        <v>712</v>
      </c>
      <c r="E280">
        <v>1304</v>
      </c>
      <c r="F280" t="s">
        <v>11</v>
      </c>
      <c r="G280" t="s">
        <v>11</v>
      </c>
      <c r="H280" t="s">
        <v>12</v>
      </c>
      <c r="I280" t="s">
        <v>708</v>
      </c>
      <c r="J280" t="str">
        <f>HYPERLINK("https://portal.sunwardpharma.com/#/?id=203892&amp;&amp;type=latest", "Click Here")</f>
        <v>Click Here</v>
      </c>
    </row>
    <row r="281" spans="1:10" hidden="1" x14ac:dyDescent="0.3">
      <c r="A281" t="s">
        <v>706</v>
      </c>
      <c r="B281" t="s">
        <v>9</v>
      </c>
      <c r="C281" t="s">
        <v>707</v>
      </c>
      <c r="E281">
        <v>1113</v>
      </c>
      <c r="F281" t="s">
        <v>11</v>
      </c>
      <c r="G281" t="s">
        <v>11</v>
      </c>
      <c r="H281" t="s">
        <v>12</v>
      </c>
      <c r="I281" t="s">
        <v>708</v>
      </c>
      <c r="J281" t="str">
        <f>HYPERLINK("https://portal.sunwardpharma.com/#/?id=203893&amp;&amp;type=latest", "Click Here")</f>
        <v>Click Here</v>
      </c>
    </row>
    <row r="282" spans="1:10" hidden="1" x14ac:dyDescent="0.3">
      <c r="A282" t="s">
        <v>731</v>
      </c>
      <c r="B282" t="s">
        <v>9</v>
      </c>
      <c r="C282" t="s">
        <v>732</v>
      </c>
      <c r="E282">
        <v>2421</v>
      </c>
      <c r="F282" t="s">
        <v>11</v>
      </c>
      <c r="G282" t="s">
        <v>11</v>
      </c>
      <c r="H282" t="s">
        <v>12</v>
      </c>
      <c r="I282" t="s">
        <v>708</v>
      </c>
      <c r="J282" t="str">
        <f>HYPERLINK("https://portal.sunwardpharma.com/#/?id=203894&amp;&amp;type=latest", "Click Here")</f>
        <v>Click Here</v>
      </c>
    </row>
    <row r="283" spans="1:10" hidden="1" x14ac:dyDescent="0.3">
      <c r="A283" t="s">
        <v>704</v>
      </c>
      <c r="B283" t="s">
        <v>9</v>
      </c>
      <c r="C283" t="s">
        <v>705</v>
      </c>
      <c r="E283">
        <v>1065</v>
      </c>
      <c r="F283" t="s">
        <v>11</v>
      </c>
      <c r="G283" t="s">
        <v>11</v>
      </c>
      <c r="H283" t="s">
        <v>12</v>
      </c>
      <c r="I283" t="s">
        <v>679</v>
      </c>
      <c r="J283" t="str">
        <f>HYPERLINK("https://portal.sunwardpharma.com/#/?id=203895&amp;&amp;type=latest", "Click Here")</f>
        <v>Click Here</v>
      </c>
    </row>
    <row r="284" spans="1:10" hidden="1" x14ac:dyDescent="0.3">
      <c r="A284" t="s">
        <v>709</v>
      </c>
      <c r="B284" t="s">
        <v>9</v>
      </c>
      <c r="C284" t="s">
        <v>710</v>
      </c>
      <c r="E284">
        <v>1129</v>
      </c>
      <c r="F284" t="s">
        <v>11</v>
      </c>
      <c r="G284" t="s">
        <v>11</v>
      </c>
      <c r="H284" t="s">
        <v>12</v>
      </c>
      <c r="I284" t="s">
        <v>708</v>
      </c>
      <c r="J284" t="str">
        <f>HYPERLINK("https://portal.sunwardpharma.com/#/?id=203896&amp;&amp;type=latest", "Click Here")</f>
        <v>Click Here</v>
      </c>
    </row>
    <row r="285" spans="1:10" hidden="1" x14ac:dyDescent="0.3">
      <c r="A285" t="s">
        <v>713</v>
      </c>
      <c r="B285" t="s">
        <v>9</v>
      </c>
      <c r="C285" t="s">
        <v>714</v>
      </c>
      <c r="E285">
        <v>1241</v>
      </c>
      <c r="F285" t="s">
        <v>11</v>
      </c>
      <c r="G285" t="s">
        <v>11</v>
      </c>
      <c r="H285" t="s">
        <v>12</v>
      </c>
      <c r="I285" t="s">
        <v>708</v>
      </c>
      <c r="J285" t="str">
        <f>HYPERLINK("https://portal.sunwardpharma.com/#/?id=203897&amp;&amp;type=latest", "Click Here")</f>
        <v>Click Here</v>
      </c>
    </row>
    <row r="286" spans="1:10" hidden="1" x14ac:dyDescent="0.3">
      <c r="A286" t="s">
        <v>715</v>
      </c>
      <c r="B286" t="s">
        <v>9</v>
      </c>
      <c r="C286" t="s">
        <v>716</v>
      </c>
      <c r="E286">
        <v>1180</v>
      </c>
      <c r="F286" t="s">
        <v>11</v>
      </c>
      <c r="G286" t="s">
        <v>11</v>
      </c>
      <c r="H286" t="s">
        <v>12</v>
      </c>
      <c r="I286" t="s">
        <v>708</v>
      </c>
      <c r="J286" t="str">
        <f>HYPERLINK("https://portal.sunwardpharma.com/#/?id=203898&amp;&amp;type=latest", "Click Here")</f>
        <v>Click Here</v>
      </c>
    </row>
    <row r="287" spans="1:10" hidden="1" x14ac:dyDescent="0.3">
      <c r="A287" t="s">
        <v>702</v>
      </c>
      <c r="B287" t="s">
        <v>9</v>
      </c>
      <c r="C287" t="s">
        <v>703</v>
      </c>
      <c r="E287">
        <v>900</v>
      </c>
      <c r="F287" t="s">
        <v>11</v>
      </c>
      <c r="G287" t="s">
        <v>11</v>
      </c>
      <c r="H287" t="s">
        <v>12</v>
      </c>
      <c r="I287" t="s">
        <v>679</v>
      </c>
      <c r="J287" t="str">
        <f>HYPERLINK("https://portal.sunwardpharma.com/#/?id=203899&amp;&amp;type=latest", "Click Here")</f>
        <v>Click Here</v>
      </c>
    </row>
    <row r="288" spans="1:10" hidden="1" x14ac:dyDescent="0.3">
      <c r="A288" t="s">
        <v>694</v>
      </c>
      <c r="B288" t="s">
        <v>9</v>
      </c>
      <c r="C288" t="s">
        <v>695</v>
      </c>
      <c r="E288">
        <v>735</v>
      </c>
      <c r="F288" t="s">
        <v>11</v>
      </c>
      <c r="G288" t="s">
        <v>11</v>
      </c>
      <c r="H288" t="s">
        <v>12</v>
      </c>
      <c r="I288" t="s">
        <v>679</v>
      </c>
      <c r="J288" t="str">
        <f>HYPERLINK("https://portal.sunwardpharma.com/#/?id=203900&amp;&amp;type=latest", "Click Here")</f>
        <v>Click Here</v>
      </c>
    </row>
    <row r="289" spans="1:10" hidden="1" x14ac:dyDescent="0.3">
      <c r="A289" t="s">
        <v>688</v>
      </c>
      <c r="B289" t="s">
        <v>9</v>
      </c>
      <c r="C289" t="s">
        <v>689</v>
      </c>
      <c r="E289">
        <v>752</v>
      </c>
      <c r="F289" t="s">
        <v>11</v>
      </c>
      <c r="G289" t="s">
        <v>11</v>
      </c>
      <c r="H289" t="s">
        <v>12</v>
      </c>
      <c r="I289" t="s">
        <v>679</v>
      </c>
      <c r="J289" t="str">
        <f>HYPERLINK("https://portal.sunwardpharma.com/#/?id=203901&amp;&amp;type=latest", "Click Here")</f>
        <v>Click Here</v>
      </c>
    </row>
    <row r="290" spans="1:10" hidden="1" x14ac:dyDescent="0.3">
      <c r="A290" t="s">
        <v>686</v>
      </c>
      <c r="B290" t="s">
        <v>9</v>
      </c>
      <c r="C290" t="s">
        <v>687</v>
      </c>
      <c r="E290">
        <v>761</v>
      </c>
      <c r="F290" t="s">
        <v>11</v>
      </c>
      <c r="G290" t="s">
        <v>11</v>
      </c>
      <c r="H290" t="s">
        <v>12</v>
      </c>
      <c r="I290" t="s">
        <v>679</v>
      </c>
      <c r="J290" t="str">
        <f>HYPERLINK("https://portal.sunwardpharma.com/#/?id=203902&amp;&amp;type=latest", "Click Here")</f>
        <v>Click Here</v>
      </c>
    </row>
    <row r="291" spans="1:10" hidden="1" x14ac:dyDescent="0.3">
      <c r="A291" t="s">
        <v>729</v>
      </c>
      <c r="B291" t="s">
        <v>9</v>
      </c>
      <c r="C291" t="s">
        <v>730</v>
      </c>
      <c r="E291">
        <v>2063</v>
      </c>
      <c r="F291" t="s">
        <v>11</v>
      </c>
      <c r="G291" t="s">
        <v>11</v>
      </c>
      <c r="H291" t="s">
        <v>12</v>
      </c>
      <c r="I291" t="s">
        <v>708</v>
      </c>
      <c r="J291" t="str">
        <f>HYPERLINK("https://portal.sunwardpharma.com/#/?id=203903&amp;&amp;type=latest", "Click Here")</f>
        <v>Click Here</v>
      </c>
    </row>
    <row r="292" spans="1:10" hidden="1" x14ac:dyDescent="0.3">
      <c r="A292" t="s">
        <v>680</v>
      </c>
      <c r="B292" t="s">
        <v>9</v>
      </c>
      <c r="C292" t="s">
        <v>681</v>
      </c>
      <c r="E292">
        <v>598</v>
      </c>
      <c r="F292" t="s">
        <v>11</v>
      </c>
      <c r="G292" t="s">
        <v>11</v>
      </c>
      <c r="H292" t="s">
        <v>12</v>
      </c>
      <c r="I292" t="s">
        <v>679</v>
      </c>
      <c r="J292" t="str">
        <f>HYPERLINK("https://portal.sunwardpharma.com/#/?id=203904&amp;&amp;type=latest", "Click Here")</f>
        <v>Click Here</v>
      </c>
    </row>
    <row r="293" spans="1:10" hidden="1" x14ac:dyDescent="0.3">
      <c r="A293" t="s">
        <v>690</v>
      </c>
      <c r="B293" t="s">
        <v>9</v>
      </c>
      <c r="C293" t="s">
        <v>691</v>
      </c>
      <c r="E293">
        <v>769</v>
      </c>
      <c r="F293" t="s">
        <v>11</v>
      </c>
      <c r="G293" t="s">
        <v>11</v>
      </c>
      <c r="H293" t="s">
        <v>12</v>
      </c>
      <c r="I293" t="s">
        <v>679</v>
      </c>
      <c r="J293" t="str">
        <f>HYPERLINK("https://portal.sunwardpharma.com/#/?id=203905&amp;&amp;type=latest", "Click Here")</f>
        <v>Click Here</v>
      </c>
    </row>
    <row r="294" spans="1:10" hidden="1" x14ac:dyDescent="0.3">
      <c r="A294" t="s">
        <v>700</v>
      </c>
      <c r="B294" t="s">
        <v>9</v>
      </c>
      <c r="C294" t="s">
        <v>701</v>
      </c>
      <c r="E294">
        <v>766</v>
      </c>
      <c r="F294" t="s">
        <v>11</v>
      </c>
      <c r="G294" t="s">
        <v>11</v>
      </c>
      <c r="H294" t="s">
        <v>12</v>
      </c>
      <c r="I294" t="s">
        <v>679</v>
      </c>
      <c r="J294" t="str">
        <f>HYPERLINK("https://portal.sunwardpharma.com/#/?id=203906&amp;&amp;type=latest", "Click Here")</f>
        <v>Click Here</v>
      </c>
    </row>
    <row r="295" spans="1:10" hidden="1" x14ac:dyDescent="0.3">
      <c r="A295" t="s">
        <v>677</v>
      </c>
      <c r="B295" t="s">
        <v>9</v>
      </c>
      <c r="C295" t="s">
        <v>678</v>
      </c>
      <c r="E295">
        <v>504</v>
      </c>
      <c r="F295" t="s">
        <v>11</v>
      </c>
      <c r="G295" t="s">
        <v>11</v>
      </c>
      <c r="H295" t="s">
        <v>12</v>
      </c>
      <c r="I295" t="s">
        <v>679</v>
      </c>
      <c r="J295" t="str">
        <f>HYPERLINK("https://portal.sunwardpharma.com/#/?id=203907&amp;&amp;type=latest", "Click Here")</f>
        <v>Click Here</v>
      </c>
    </row>
    <row r="296" spans="1:10" hidden="1" x14ac:dyDescent="0.3">
      <c r="A296" t="s">
        <v>721</v>
      </c>
      <c r="B296" t="s">
        <v>9</v>
      </c>
      <c r="C296" t="s">
        <v>722</v>
      </c>
      <c r="E296">
        <v>1541</v>
      </c>
      <c r="F296" t="s">
        <v>11</v>
      </c>
      <c r="G296" t="s">
        <v>11</v>
      </c>
      <c r="H296" t="s">
        <v>12</v>
      </c>
      <c r="I296" t="s">
        <v>708</v>
      </c>
      <c r="J296" t="str">
        <f>HYPERLINK("https://portal.sunwardpharma.com/#/?id=203908&amp;&amp;type=latest", "Click Here")</f>
        <v>Click Here</v>
      </c>
    </row>
    <row r="297" spans="1:10" hidden="1" x14ac:dyDescent="0.3">
      <c r="A297" t="s">
        <v>747</v>
      </c>
      <c r="B297" t="s">
        <v>9</v>
      </c>
      <c r="C297" t="s">
        <v>748</v>
      </c>
      <c r="E297">
        <v>2999</v>
      </c>
      <c r="F297" t="s">
        <v>11</v>
      </c>
      <c r="G297" t="s">
        <v>11</v>
      </c>
      <c r="H297" t="s">
        <v>12</v>
      </c>
      <c r="I297" t="s">
        <v>708</v>
      </c>
      <c r="J297" t="str">
        <f>HYPERLINK("https://portal.sunwardpharma.com/#/?id=203909&amp;&amp;type=latest", "Click Here")</f>
        <v>Click Here</v>
      </c>
    </row>
    <row r="298" spans="1:10" hidden="1" x14ac:dyDescent="0.3">
      <c r="A298" t="s">
        <v>684</v>
      </c>
      <c r="B298" t="s">
        <v>9</v>
      </c>
      <c r="C298" t="s">
        <v>685</v>
      </c>
      <c r="E298">
        <v>653</v>
      </c>
      <c r="F298" t="s">
        <v>11</v>
      </c>
      <c r="G298" t="s">
        <v>11</v>
      </c>
      <c r="H298" t="s">
        <v>12</v>
      </c>
      <c r="I298" t="s">
        <v>679</v>
      </c>
      <c r="J298" t="str">
        <f>HYPERLINK("https://portal.sunwardpharma.com/#/?id=203910&amp;&amp;type=latest", "Click Here")</f>
        <v>Click Here</v>
      </c>
    </row>
    <row r="299" spans="1:10" hidden="1" x14ac:dyDescent="0.3">
      <c r="A299" t="s">
        <v>717</v>
      </c>
      <c r="B299" t="s">
        <v>9</v>
      </c>
      <c r="C299" t="s">
        <v>718</v>
      </c>
      <c r="E299">
        <v>1262</v>
      </c>
      <c r="F299" t="s">
        <v>11</v>
      </c>
      <c r="G299" t="s">
        <v>11</v>
      </c>
      <c r="H299" t="s">
        <v>12</v>
      </c>
      <c r="I299" t="s">
        <v>708</v>
      </c>
      <c r="J299" t="str">
        <f>HYPERLINK("https://portal.sunwardpharma.com/#/?id=203911&amp;&amp;type=latest", "Click Here")</f>
        <v>Click Here</v>
      </c>
    </row>
    <row r="300" spans="1:10" hidden="1" x14ac:dyDescent="0.3">
      <c r="A300" t="s">
        <v>696</v>
      </c>
      <c r="B300" t="s">
        <v>9</v>
      </c>
      <c r="C300" t="s">
        <v>697</v>
      </c>
      <c r="E300">
        <v>869</v>
      </c>
      <c r="F300" t="s">
        <v>11</v>
      </c>
      <c r="G300" t="s">
        <v>11</v>
      </c>
      <c r="H300" t="s">
        <v>12</v>
      </c>
      <c r="I300" t="s">
        <v>679</v>
      </c>
      <c r="J300" t="str">
        <f>HYPERLINK("https://portal.sunwardpharma.com/#/?id=203912&amp;&amp;type=latest", "Click Here")</f>
        <v>Click Here</v>
      </c>
    </row>
    <row r="301" spans="1:10" hidden="1" x14ac:dyDescent="0.3">
      <c r="A301" t="s">
        <v>682</v>
      </c>
      <c r="B301" t="s">
        <v>9</v>
      </c>
      <c r="C301" t="s">
        <v>683</v>
      </c>
      <c r="E301">
        <v>607</v>
      </c>
      <c r="F301" t="s">
        <v>11</v>
      </c>
      <c r="G301" t="s">
        <v>11</v>
      </c>
      <c r="H301" t="s">
        <v>12</v>
      </c>
      <c r="I301" t="s">
        <v>679</v>
      </c>
      <c r="J301" t="str">
        <f>HYPERLINK("https://portal.sunwardpharma.com/#/?id=203913&amp;&amp;type=latest", "Click Here")</f>
        <v>Click Here</v>
      </c>
    </row>
    <row r="302" spans="1:10" hidden="1" x14ac:dyDescent="0.3">
      <c r="A302" t="s">
        <v>845</v>
      </c>
      <c r="B302" t="s">
        <v>9</v>
      </c>
      <c r="C302" t="s">
        <v>846</v>
      </c>
      <c r="E302">
        <v>1911</v>
      </c>
      <c r="F302" t="s">
        <v>11</v>
      </c>
      <c r="G302" t="s">
        <v>11</v>
      </c>
      <c r="H302" t="s">
        <v>12</v>
      </c>
      <c r="I302" t="s">
        <v>826</v>
      </c>
      <c r="J302" t="str">
        <f>HYPERLINK("https://portal.sunwardpharma.com/#/?id=203914&amp;&amp;type=latest", "Click Here")</f>
        <v>Click Here</v>
      </c>
    </row>
    <row r="303" spans="1:10" hidden="1" x14ac:dyDescent="0.3">
      <c r="A303" t="s">
        <v>772</v>
      </c>
      <c r="B303" t="s">
        <v>9</v>
      </c>
      <c r="C303" t="s">
        <v>773</v>
      </c>
      <c r="E303">
        <v>761</v>
      </c>
      <c r="F303" t="s">
        <v>11</v>
      </c>
      <c r="G303" t="s">
        <v>11</v>
      </c>
      <c r="H303" t="s">
        <v>12</v>
      </c>
      <c r="I303" t="s">
        <v>761</v>
      </c>
      <c r="J303" t="str">
        <f>HYPERLINK("https://portal.sunwardpharma.com/#/?id=203915&amp;&amp;type=latest", "Click Here")</f>
        <v>Click Here</v>
      </c>
    </row>
    <row r="304" spans="1:10" hidden="1" x14ac:dyDescent="0.3">
      <c r="A304" t="s">
        <v>857</v>
      </c>
      <c r="B304" t="s">
        <v>9</v>
      </c>
      <c r="C304" t="s">
        <v>858</v>
      </c>
      <c r="E304">
        <v>1959</v>
      </c>
      <c r="F304" t="s">
        <v>11</v>
      </c>
      <c r="G304" t="s">
        <v>11</v>
      </c>
      <c r="H304" t="s">
        <v>12</v>
      </c>
      <c r="I304" t="s">
        <v>826</v>
      </c>
      <c r="J304" t="str">
        <f>HYPERLINK("https://portal.sunwardpharma.com/#/?id=203916&amp;&amp;type=latest", "Click Here")</f>
        <v>Click Here</v>
      </c>
    </row>
    <row r="305" spans="1:10" hidden="1" x14ac:dyDescent="0.3">
      <c r="A305" t="s">
        <v>770</v>
      </c>
      <c r="B305" t="s">
        <v>9</v>
      </c>
      <c r="C305" t="s">
        <v>771</v>
      </c>
      <c r="E305">
        <v>735</v>
      </c>
      <c r="F305" t="s">
        <v>11</v>
      </c>
      <c r="G305" t="s">
        <v>11</v>
      </c>
      <c r="H305" t="s">
        <v>12</v>
      </c>
      <c r="I305" t="s">
        <v>761</v>
      </c>
      <c r="J305" t="str">
        <f>HYPERLINK("https://portal.sunwardpharma.com/#/?id=203917&amp;&amp;type=latest", "Click Here")</f>
        <v>Click Here</v>
      </c>
    </row>
    <row r="306" spans="1:10" hidden="1" x14ac:dyDescent="0.3">
      <c r="A306" t="s">
        <v>802</v>
      </c>
      <c r="B306" t="s">
        <v>9</v>
      </c>
      <c r="C306" t="s">
        <v>803</v>
      </c>
      <c r="E306">
        <v>1334</v>
      </c>
      <c r="F306" t="s">
        <v>11</v>
      </c>
      <c r="G306" t="s">
        <v>11</v>
      </c>
      <c r="H306" t="s">
        <v>12</v>
      </c>
      <c r="I306" t="s">
        <v>761</v>
      </c>
      <c r="J306" t="str">
        <f>HYPERLINK("https://portal.sunwardpharma.com/#/?id=203918&amp;&amp;type=latest", "Click Here")</f>
        <v>Click Here</v>
      </c>
    </row>
    <row r="307" spans="1:10" hidden="1" x14ac:dyDescent="0.3">
      <c r="A307" t="s">
        <v>824</v>
      </c>
      <c r="B307" t="s">
        <v>9</v>
      </c>
      <c r="C307" t="s">
        <v>825</v>
      </c>
      <c r="E307">
        <v>1577</v>
      </c>
      <c r="F307" t="s">
        <v>11</v>
      </c>
      <c r="G307" t="s">
        <v>11</v>
      </c>
      <c r="H307" t="s">
        <v>12</v>
      </c>
      <c r="I307" t="s">
        <v>826</v>
      </c>
      <c r="J307" t="str">
        <f>HYPERLINK("https://portal.sunwardpharma.com/#/?id=203919&amp;&amp;type=latest", "Click Here")</f>
        <v>Click Here</v>
      </c>
    </row>
    <row r="308" spans="1:10" hidden="1" x14ac:dyDescent="0.3">
      <c r="A308" t="s">
        <v>818</v>
      </c>
      <c r="B308" t="s">
        <v>9</v>
      </c>
      <c r="C308" t="s">
        <v>819</v>
      </c>
      <c r="E308">
        <v>1549</v>
      </c>
      <c r="F308" t="s">
        <v>11</v>
      </c>
      <c r="G308" t="s">
        <v>11</v>
      </c>
      <c r="H308" t="s">
        <v>12</v>
      </c>
      <c r="I308" t="s">
        <v>761</v>
      </c>
      <c r="J308" t="str">
        <f>HYPERLINK("https://portal.sunwardpharma.com/#/?id=203920&amp;&amp;type=latest", "Click Here")</f>
        <v>Click Here</v>
      </c>
    </row>
    <row r="309" spans="1:10" hidden="1" x14ac:dyDescent="0.3">
      <c r="A309" t="s">
        <v>827</v>
      </c>
      <c r="B309" t="s">
        <v>9</v>
      </c>
      <c r="C309" t="s">
        <v>828</v>
      </c>
      <c r="E309">
        <v>1639</v>
      </c>
      <c r="F309" t="s">
        <v>11</v>
      </c>
      <c r="G309" t="s">
        <v>11</v>
      </c>
      <c r="H309" t="s">
        <v>12</v>
      </c>
      <c r="I309" t="s">
        <v>826</v>
      </c>
      <c r="J309" t="str">
        <f>HYPERLINK("https://portal.sunwardpharma.com/#/?id=203921&amp;&amp;type=latest", "Click Here")</f>
        <v>Click Here</v>
      </c>
    </row>
    <row r="310" spans="1:10" hidden="1" x14ac:dyDescent="0.3">
      <c r="A310" t="s">
        <v>853</v>
      </c>
      <c r="B310" t="s">
        <v>9</v>
      </c>
      <c r="C310" t="s">
        <v>854</v>
      </c>
      <c r="E310">
        <v>2093</v>
      </c>
      <c r="F310" t="s">
        <v>11</v>
      </c>
      <c r="G310" t="s">
        <v>11</v>
      </c>
      <c r="H310" t="s">
        <v>12</v>
      </c>
      <c r="I310" t="s">
        <v>826</v>
      </c>
      <c r="J310" t="str">
        <f>HYPERLINK("https://portal.sunwardpharma.com/#/?id=203922&amp;&amp;type=latest", "Click Here")</f>
        <v>Click Here</v>
      </c>
    </row>
    <row r="311" spans="1:10" hidden="1" x14ac:dyDescent="0.3">
      <c r="A311" t="s">
        <v>861</v>
      </c>
      <c r="B311" t="s">
        <v>9</v>
      </c>
      <c r="C311" t="s">
        <v>862</v>
      </c>
      <c r="E311">
        <v>2166</v>
      </c>
      <c r="F311" t="s">
        <v>11</v>
      </c>
      <c r="G311" t="s">
        <v>11</v>
      </c>
      <c r="H311" t="s">
        <v>12</v>
      </c>
      <c r="I311" t="s">
        <v>826</v>
      </c>
      <c r="J311" t="str">
        <f>HYPERLINK("https://portal.sunwardpharma.com/#/?id=203923&amp;&amp;type=latest", "Click Here")</f>
        <v>Click Here</v>
      </c>
    </row>
    <row r="312" spans="1:10" hidden="1" x14ac:dyDescent="0.3">
      <c r="A312" t="s">
        <v>814</v>
      </c>
      <c r="B312" t="s">
        <v>9</v>
      </c>
      <c r="C312" t="s">
        <v>815</v>
      </c>
      <c r="E312">
        <v>1237</v>
      </c>
      <c r="F312" t="s">
        <v>11</v>
      </c>
      <c r="G312" t="s">
        <v>11</v>
      </c>
      <c r="H312" t="s">
        <v>12</v>
      </c>
      <c r="I312" t="s">
        <v>761</v>
      </c>
      <c r="J312" t="str">
        <f>HYPERLINK("https://portal.sunwardpharma.com/#/?id=214941&amp;&amp;type=latest", "Click Here")</f>
        <v>Click Here</v>
      </c>
    </row>
    <row r="313" spans="1:10" hidden="1" x14ac:dyDescent="0.3">
      <c r="A313" t="s">
        <v>780</v>
      </c>
      <c r="B313" t="s">
        <v>9</v>
      </c>
      <c r="C313" t="s">
        <v>781</v>
      </c>
      <c r="E313">
        <v>794</v>
      </c>
      <c r="F313" t="s">
        <v>11</v>
      </c>
      <c r="G313" t="s">
        <v>11</v>
      </c>
      <c r="H313" t="s">
        <v>12</v>
      </c>
      <c r="I313" t="s">
        <v>761</v>
      </c>
      <c r="J313" t="str">
        <f>HYPERLINK("https://portal.sunwardpharma.com/#/?id=214942&amp;&amp;type=latest", "Click Here")</f>
        <v>Click Here</v>
      </c>
    </row>
    <row r="314" spans="1:10" hidden="1" x14ac:dyDescent="0.3">
      <c r="A314" t="s">
        <v>768</v>
      </c>
      <c r="B314" t="s">
        <v>9</v>
      </c>
      <c r="C314" t="s">
        <v>769</v>
      </c>
      <c r="E314">
        <v>780</v>
      </c>
      <c r="F314" t="s">
        <v>11</v>
      </c>
      <c r="G314" t="s">
        <v>11</v>
      </c>
      <c r="H314" t="s">
        <v>12</v>
      </c>
      <c r="I314" t="s">
        <v>761</v>
      </c>
      <c r="J314" t="str">
        <f>HYPERLINK("https://portal.sunwardpharma.com/#/?id=214943&amp;&amp;type=latest", "Click Here")</f>
        <v>Click Here</v>
      </c>
    </row>
    <row r="315" spans="1:10" hidden="1" x14ac:dyDescent="0.3">
      <c r="A315" t="s">
        <v>804</v>
      </c>
      <c r="B315" t="s">
        <v>9</v>
      </c>
      <c r="C315" t="s">
        <v>805</v>
      </c>
      <c r="E315">
        <v>782</v>
      </c>
      <c r="F315" t="s">
        <v>11</v>
      </c>
      <c r="G315" t="s">
        <v>11</v>
      </c>
      <c r="H315" t="s">
        <v>12</v>
      </c>
      <c r="I315" t="s">
        <v>761</v>
      </c>
      <c r="J315" t="str">
        <f>HYPERLINK("https://portal.sunwardpharma.com/#/?id=214944&amp;&amp;type=latest", "Click Here")</f>
        <v>Click Here</v>
      </c>
    </row>
    <row r="316" spans="1:10" hidden="1" x14ac:dyDescent="0.3">
      <c r="A316" t="s">
        <v>774</v>
      </c>
      <c r="B316" t="s">
        <v>9</v>
      </c>
      <c r="C316" t="s">
        <v>775</v>
      </c>
      <c r="E316">
        <v>752</v>
      </c>
      <c r="F316" t="s">
        <v>11</v>
      </c>
      <c r="G316" t="s">
        <v>11</v>
      </c>
      <c r="H316" t="s">
        <v>12</v>
      </c>
      <c r="I316" t="s">
        <v>761</v>
      </c>
      <c r="J316" t="str">
        <f>HYPERLINK("https://portal.sunwardpharma.com/#/?id=214945&amp;&amp;type=latest", "Click Here")</f>
        <v>Click Here</v>
      </c>
    </row>
    <row r="317" spans="1:10" hidden="1" x14ac:dyDescent="0.3">
      <c r="A317" t="s">
        <v>863</v>
      </c>
      <c r="B317" t="s">
        <v>9</v>
      </c>
      <c r="C317" t="s">
        <v>864</v>
      </c>
      <c r="E317">
        <v>2237</v>
      </c>
      <c r="F317" t="s">
        <v>11</v>
      </c>
      <c r="G317" t="s">
        <v>11</v>
      </c>
      <c r="H317" t="s">
        <v>12</v>
      </c>
      <c r="I317" t="s">
        <v>826</v>
      </c>
      <c r="J317" t="str">
        <f>HYPERLINK("https://portal.sunwardpharma.com/#/?id=214946&amp;&amp;type=latest", "Click Here")</f>
        <v>Click Here</v>
      </c>
    </row>
    <row r="318" spans="1:10" hidden="1" x14ac:dyDescent="0.3">
      <c r="A318" t="s">
        <v>873</v>
      </c>
      <c r="B318" t="s">
        <v>9</v>
      </c>
      <c r="C318" t="s">
        <v>874</v>
      </c>
      <c r="E318">
        <v>6291</v>
      </c>
      <c r="F318" t="s">
        <v>11</v>
      </c>
      <c r="G318" t="s">
        <v>11</v>
      </c>
      <c r="H318" t="s">
        <v>12</v>
      </c>
      <c r="I318" t="s">
        <v>826</v>
      </c>
      <c r="J318" t="str">
        <f>HYPERLINK("https://portal.sunwardpharma.com/#/?id=214947&amp;&amp;type=latest", "Click Here")</f>
        <v>Click Here</v>
      </c>
    </row>
    <row r="319" spans="1:10" hidden="1" x14ac:dyDescent="0.3">
      <c r="A319" t="s">
        <v>759</v>
      </c>
      <c r="B319" t="s">
        <v>9</v>
      </c>
      <c r="C319" t="s">
        <v>760</v>
      </c>
      <c r="E319">
        <v>517</v>
      </c>
      <c r="F319" t="s">
        <v>11</v>
      </c>
      <c r="G319" t="s">
        <v>11</v>
      </c>
      <c r="H319" t="s">
        <v>12</v>
      </c>
      <c r="I319" t="s">
        <v>761</v>
      </c>
      <c r="J319" t="str">
        <f>HYPERLINK("https://portal.sunwardpharma.com/#/?id=214948&amp;&amp;type=latest", "Click Here")</f>
        <v>Click Here</v>
      </c>
    </row>
    <row r="320" spans="1:10" hidden="1" x14ac:dyDescent="0.3">
      <c r="A320" t="s">
        <v>778</v>
      </c>
      <c r="B320" t="s">
        <v>9</v>
      </c>
      <c r="C320" t="s">
        <v>779</v>
      </c>
      <c r="E320">
        <v>606</v>
      </c>
      <c r="F320" t="s">
        <v>11</v>
      </c>
      <c r="G320" t="s">
        <v>11</v>
      </c>
      <c r="H320" t="s">
        <v>12</v>
      </c>
      <c r="I320" t="s">
        <v>761</v>
      </c>
      <c r="J320" t="str">
        <f>HYPERLINK("https://portal.sunwardpharma.com/#/?id=214949&amp;&amp;type=latest", "Click Here")</f>
        <v>Click Here</v>
      </c>
    </row>
    <row r="321" spans="1:10" hidden="1" x14ac:dyDescent="0.3">
      <c r="A321" t="s">
        <v>766</v>
      </c>
      <c r="B321" t="s">
        <v>9</v>
      </c>
      <c r="C321" t="s">
        <v>767</v>
      </c>
      <c r="E321">
        <v>608</v>
      </c>
      <c r="F321" t="s">
        <v>11</v>
      </c>
      <c r="G321" t="s">
        <v>11</v>
      </c>
      <c r="H321" t="s">
        <v>12</v>
      </c>
      <c r="I321" t="s">
        <v>761</v>
      </c>
      <c r="J321" t="str">
        <f>HYPERLINK("https://portal.sunwardpharma.com/#/?id=214950&amp;&amp;type=latest", "Click Here")</f>
        <v>Click Here</v>
      </c>
    </row>
    <row r="322" spans="1:10" hidden="1" x14ac:dyDescent="0.3">
      <c r="A322" t="s">
        <v>794</v>
      </c>
      <c r="B322" t="s">
        <v>9</v>
      </c>
      <c r="C322" t="s">
        <v>795</v>
      </c>
      <c r="E322">
        <v>1120</v>
      </c>
      <c r="F322" t="s">
        <v>11</v>
      </c>
      <c r="G322" t="s">
        <v>11</v>
      </c>
      <c r="H322" t="s">
        <v>12</v>
      </c>
      <c r="I322" t="s">
        <v>761</v>
      </c>
      <c r="J322" t="str">
        <f>HYPERLINK("https://portal.sunwardpharma.com/#/?id=214951&amp;&amp;type=latest", "Click Here")</f>
        <v>Click Here</v>
      </c>
    </row>
    <row r="323" spans="1:10" hidden="1" x14ac:dyDescent="0.3">
      <c r="A323" t="s">
        <v>762</v>
      </c>
      <c r="B323" t="s">
        <v>9</v>
      </c>
      <c r="C323" t="s">
        <v>763</v>
      </c>
      <c r="E323">
        <v>558</v>
      </c>
      <c r="F323" t="s">
        <v>11</v>
      </c>
      <c r="G323" t="s">
        <v>11</v>
      </c>
      <c r="H323" t="s">
        <v>12</v>
      </c>
      <c r="I323" t="s">
        <v>761</v>
      </c>
      <c r="J323" t="str">
        <f>HYPERLINK("https://portal.sunwardpharma.com/#/?id=214952&amp;&amp;type=latest", "Click Here")</f>
        <v>Click Here</v>
      </c>
    </row>
    <row r="324" spans="1:10" hidden="1" x14ac:dyDescent="0.3">
      <c r="A324" t="s">
        <v>788</v>
      </c>
      <c r="B324" t="s">
        <v>9</v>
      </c>
      <c r="C324" t="s">
        <v>789</v>
      </c>
      <c r="E324">
        <v>729</v>
      </c>
      <c r="F324" t="s">
        <v>11</v>
      </c>
      <c r="G324" t="s">
        <v>11</v>
      </c>
      <c r="H324" t="s">
        <v>12</v>
      </c>
      <c r="I324" t="s">
        <v>761</v>
      </c>
      <c r="J324" t="str">
        <f>HYPERLINK("https://portal.sunwardpharma.com/#/?id=214953&amp;&amp;type=latest", "Click Here")</f>
        <v>Click Here</v>
      </c>
    </row>
    <row r="325" spans="1:10" hidden="1" x14ac:dyDescent="0.3">
      <c r="A325" t="s">
        <v>865</v>
      </c>
      <c r="B325" t="s">
        <v>9</v>
      </c>
      <c r="C325" t="s">
        <v>866</v>
      </c>
      <c r="E325">
        <v>2368</v>
      </c>
      <c r="F325" t="s">
        <v>11</v>
      </c>
      <c r="G325" t="s">
        <v>11</v>
      </c>
      <c r="H325" t="s">
        <v>12</v>
      </c>
      <c r="I325" t="s">
        <v>826</v>
      </c>
      <c r="J325" t="str">
        <f>HYPERLINK("https://portal.sunwardpharma.com/#/?id=214954&amp;&amp;type=latest", "Click Here")</f>
        <v>Click Here</v>
      </c>
    </row>
    <row r="326" spans="1:10" hidden="1" x14ac:dyDescent="0.3">
      <c r="A326" t="s">
        <v>831</v>
      </c>
      <c r="B326" t="s">
        <v>9</v>
      </c>
      <c r="C326" t="s">
        <v>832</v>
      </c>
      <c r="E326">
        <v>1211</v>
      </c>
      <c r="F326" t="s">
        <v>11</v>
      </c>
      <c r="G326" t="s">
        <v>11</v>
      </c>
      <c r="H326" t="s">
        <v>12</v>
      </c>
      <c r="I326" t="s">
        <v>761</v>
      </c>
      <c r="J326" t="str">
        <f>HYPERLINK("https://portal.sunwardpharma.com/#/?id=214955&amp;&amp;type=latest", "Click Here")</f>
        <v>Click Here</v>
      </c>
    </row>
    <row r="327" spans="1:10" hidden="1" x14ac:dyDescent="0.3">
      <c r="A327" t="s">
        <v>829</v>
      </c>
      <c r="B327" t="s">
        <v>9</v>
      </c>
      <c r="C327" t="s">
        <v>830</v>
      </c>
      <c r="E327">
        <v>1083</v>
      </c>
      <c r="F327" t="s">
        <v>11</v>
      </c>
      <c r="G327" t="s">
        <v>11</v>
      </c>
      <c r="H327" t="s">
        <v>12</v>
      </c>
      <c r="I327" t="s">
        <v>826</v>
      </c>
      <c r="J327" t="str">
        <f>HYPERLINK("https://portal.sunwardpharma.com/#/?id=214956&amp;&amp;type=latest", "Click Here")</f>
        <v>Click Here</v>
      </c>
    </row>
    <row r="328" spans="1:10" hidden="1" x14ac:dyDescent="0.3">
      <c r="A328" t="s">
        <v>833</v>
      </c>
      <c r="B328" t="s">
        <v>9</v>
      </c>
      <c r="C328" t="s">
        <v>834</v>
      </c>
      <c r="E328">
        <v>1108</v>
      </c>
      <c r="F328" t="s">
        <v>11</v>
      </c>
      <c r="G328" t="s">
        <v>11</v>
      </c>
      <c r="H328" t="s">
        <v>12</v>
      </c>
      <c r="I328" t="s">
        <v>761</v>
      </c>
      <c r="J328" t="str">
        <f>HYPERLINK("https://portal.sunwardpharma.com/#/?id=214957&amp;&amp;type=latest", "Click Here")</f>
        <v>Click Here</v>
      </c>
    </row>
    <row r="329" spans="1:10" hidden="1" x14ac:dyDescent="0.3">
      <c r="A329" t="s">
        <v>820</v>
      </c>
      <c r="B329" t="s">
        <v>9</v>
      </c>
      <c r="C329" t="s">
        <v>821</v>
      </c>
      <c r="E329">
        <v>1156</v>
      </c>
      <c r="F329" t="s">
        <v>11</v>
      </c>
      <c r="G329" t="s">
        <v>11</v>
      </c>
      <c r="H329" t="s">
        <v>12</v>
      </c>
      <c r="I329" t="s">
        <v>761</v>
      </c>
      <c r="J329" t="str">
        <f>HYPERLINK("https://portal.sunwardpharma.com/#/?id=214958&amp;&amp;type=latest", "Click Here")</f>
        <v>Click Here</v>
      </c>
    </row>
    <row r="330" spans="1:10" hidden="1" x14ac:dyDescent="0.3">
      <c r="A330" t="s">
        <v>800</v>
      </c>
      <c r="B330" t="s">
        <v>9</v>
      </c>
      <c r="C330" t="s">
        <v>801</v>
      </c>
      <c r="E330">
        <v>1077</v>
      </c>
      <c r="F330" t="s">
        <v>11</v>
      </c>
      <c r="G330" t="s">
        <v>11</v>
      </c>
      <c r="H330" t="s">
        <v>12</v>
      </c>
      <c r="I330" t="s">
        <v>761</v>
      </c>
      <c r="J330" t="str">
        <f>HYPERLINK("https://portal.sunwardpharma.com/#/?id=214959&amp;&amp;type=latest", "Click Here")</f>
        <v>Click Here</v>
      </c>
    </row>
    <row r="331" spans="1:10" hidden="1" x14ac:dyDescent="0.3">
      <c r="A331" t="s">
        <v>786</v>
      </c>
      <c r="B331" t="s">
        <v>9</v>
      </c>
      <c r="C331" t="s">
        <v>787</v>
      </c>
      <c r="E331">
        <v>688</v>
      </c>
      <c r="F331" t="s">
        <v>11</v>
      </c>
      <c r="G331" t="s">
        <v>11</v>
      </c>
      <c r="H331" t="s">
        <v>12</v>
      </c>
      <c r="I331" t="s">
        <v>761</v>
      </c>
      <c r="J331" t="str">
        <f>HYPERLINK("https://portal.sunwardpharma.com/#/?id=214960&amp;&amp;type=latest", "Click Here")</f>
        <v>Click Here</v>
      </c>
    </row>
    <row r="332" spans="1:10" hidden="1" x14ac:dyDescent="0.3">
      <c r="A332" t="s">
        <v>776</v>
      </c>
      <c r="B332" t="s">
        <v>9</v>
      </c>
      <c r="C332" t="s">
        <v>777</v>
      </c>
      <c r="E332">
        <v>624</v>
      </c>
      <c r="F332" t="s">
        <v>11</v>
      </c>
      <c r="G332" t="s">
        <v>11</v>
      </c>
      <c r="H332" t="s">
        <v>12</v>
      </c>
      <c r="I332" t="s">
        <v>761</v>
      </c>
      <c r="J332" t="str">
        <f>HYPERLINK("https://portal.sunwardpharma.com/#/?id=214961&amp;&amp;type=latest", "Click Here")</f>
        <v>Click Here</v>
      </c>
    </row>
    <row r="333" spans="1:10" hidden="1" x14ac:dyDescent="0.3">
      <c r="A333" t="s">
        <v>784</v>
      </c>
      <c r="B333" t="s">
        <v>9</v>
      </c>
      <c r="C333" t="s">
        <v>785</v>
      </c>
      <c r="E333">
        <v>676</v>
      </c>
      <c r="F333" t="s">
        <v>11</v>
      </c>
      <c r="G333" t="s">
        <v>11</v>
      </c>
      <c r="H333" t="s">
        <v>12</v>
      </c>
      <c r="I333" t="s">
        <v>761</v>
      </c>
      <c r="J333" t="str">
        <f>HYPERLINK("https://portal.sunwardpharma.com/#/?id=214962&amp;&amp;type=latest", "Click Here")</f>
        <v>Click Here</v>
      </c>
    </row>
    <row r="334" spans="1:10" hidden="1" x14ac:dyDescent="0.3">
      <c r="A334" t="s">
        <v>867</v>
      </c>
      <c r="B334" t="s">
        <v>9</v>
      </c>
      <c r="C334" t="s">
        <v>868</v>
      </c>
      <c r="E334">
        <v>2905</v>
      </c>
      <c r="F334" t="s">
        <v>11</v>
      </c>
      <c r="G334" t="s">
        <v>11</v>
      </c>
      <c r="H334" t="s">
        <v>12</v>
      </c>
      <c r="I334" t="s">
        <v>826</v>
      </c>
      <c r="J334" t="str">
        <f>HYPERLINK("https://portal.sunwardpharma.com/#/?id=203924&amp;&amp;type=latest", "Click Here")</f>
        <v>Click Here</v>
      </c>
    </row>
    <row r="335" spans="1:10" hidden="1" x14ac:dyDescent="0.3">
      <c r="A335" t="s">
        <v>869</v>
      </c>
      <c r="B335" t="s">
        <v>9</v>
      </c>
      <c r="C335" t="s">
        <v>870</v>
      </c>
      <c r="E335">
        <v>3917</v>
      </c>
      <c r="F335" t="s">
        <v>11</v>
      </c>
      <c r="G335" t="s">
        <v>11</v>
      </c>
      <c r="H335" t="s">
        <v>12</v>
      </c>
      <c r="I335" t="s">
        <v>826</v>
      </c>
      <c r="J335" t="str">
        <f>HYPERLINK("https://portal.sunwardpharma.com/#/?id=203925&amp;&amp;type=latest", "Click Here")</f>
        <v>Click Here</v>
      </c>
    </row>
    <row r="336" spans="1:10" hidden="1" x14ac:dyDescent="0.3">
      <c r="A336" t="s">
        <v>871</v>
      </c>
      <c r="B336" t="s">
        <v>9</v>
      </c>
      <c r="C336" t="s">
        <v>872</v>
      </c>
      <c r="E336">
        <v>4183</v>
      </c>
      <c r="F336" t="s">
        <v>11</v>
      </c>
      <c r="G336" t="s">
        <v>11</v>
      </c>
      <c r="H336" t="s">
        <v>12</v>
      </c>
      <c r="I336" t="s">
        <v>826</v>
      </c>
      <c r="J336" t="str">
        <f>HYPERLINK("https://portal.sunwardpharma.com/#/?id=203926&amp;&amp;type=latest", "Click Here")</f>
        <v>Click Here</v>
      </c>
    </row>
    <row r="337" spans="1:10" hidden="1" x14ac:dyDescent="0.3">
      <c r="A337" t="s">
        <v>847</v>
      </c>
      <c r="B337" t="s">
        <v>9</v>
      </c>
      <c r="C337" t="s">
        <v>848</v>
      </c>
      <c r="E337">
        <v>2083</v>
      </c>
      <c r="F337" t="s">
        <v>11</v>
      </c>
      <c r="G337" t="s">
        <v>11</v>
      </c>
      <c r="H337" t="s">
        <v>12</v>
      </c>
      <c r="I337" t="s">
        <v>826</v>
      </c>
      <c r="J337" t="str">
        <f>HYPERLINK("https://portal.sunwardpharma.com/#/?id=203927&amp;&amp;type=latest", "Click Here")</f>
        <v>Click Here</v>
      </c>
    </row>
    <row r="338" spans="1:10" hidden="1" x14ac:dyDescent="0.3">
      <c r="A338" t="s">
        <v>851</v>
      </c>
      <c r="B338" t="s">
        <v>9</v>
      </c>
      <c r="C338" t="s">
        <v>852</v>
      </c>
      <c r="E338">
        <v>1853</v>
      </c>
      <c r="F338" t="s">
        <v>11</v>
      </c>
      <c r="G338" t="s">
        <v>11</v>
      </c>
      <c r="H338" t="s">
        <v>12</v>
      </c>
      <c r="I338" t="s">
        <v>826</v>
      </c>
      <c r="J338" t="str">
        <f>HYPERLINK("https://portal.sunwardpharma.com/#/?id=203928&amp;&amp;type=latest", "Click Here")</f>
        <v>Click Here</v>
      </c>
    </row>
    <row r="339" spans="1:10" hidden="1" x14ac:dyDescent="0.3">
      <c r="A339" t="s">
        <v>841</v>
      </c>
      <c r="B339" t="s">
        <v>9</v>
      </c>
      <c r="C339" t="s">
        <v>842</v>
      </c>
      <c r="E339">
        <v>1799</v>
      </c>
      <c r="F339" t="s">
        <v>11</v>
      </c>
      <c r="G339" t="s">
        <v>11</v>
      </c>
      <c r="H339" t="s">
        <v>12</v>
      </c>
      <c r="I339" t="s">
        <v>826</v>
      </c>
      <c r="J339" t="str">
        <f>HYPERLINK("https://portal.sunwardpharma.com/#/?id=203929&amp;&amp;type=latest", "Click Here")</f>
        <v>Click Here</v>
      </c>
    </row>
    <row r="340" spans="1:10" hidden="1" x14ac:dyDescent="0.3">
      <c r="A340" t="s">
        <v>837</v>
      </c>
      <c r="B340" t="s">
        <v>9</v>
      </c>
      <c r="C340" t="s">
        <v>838</v>
      </c>
      <c r="E340">
        <v>1777</v>
      </c>
      <c r="F340" t="s">
        <v>11</v>
      </c>
      <c r="G340" t="s">
        <v>11</v>
      </c>
      <c r="H340" t="s">
        <v>12</v>
      </c>
      <c r="I340" t="s">
        <v>826</v>
      </c>
      <c r="J340" t="str">
        <f>HYPERLINK("https://portal.sunwardpharma.com/#/?id=203930&amp;&amp;type=latest", "Click Here")</f>
        <v>Click Here</v>
      </c>
    </row>
    <row r="341" spans="1:10" hidden="1" x14ac:dyDescent="0.3">
      <c r="A341" t="s">
        <v>849</v>
      </c>
      <c r="B341" t="s">
        <v>9</v>
      </c>
      <c r="C341" t="s">
        <v>850</v>
      </c>
      <c r="E341">
        <v>2094</v>
      </c>
      <c r="F341" t="s">
        <v>11</v>
      </c>
      <c r="G341" t="s">
        <v>11</v>
      </c>
      <c r="H341" t="s">
        <v>12</v>
      </c>
      <c r="I341" t="s">
        <v>826</v>
      </c>
      <c r="J341" t="str">
        <f>HYPERLINK("https://portal.sunwardpharma.com/#/?id=203931&amp;&amp;type=latest", "Click Here")</f>
        <v>Click Here</v>
      </c>
    </row>
    <row r="342" spans="1:10" hidden="1" x14ac:dyDescent="0.3">
      <c r="A342" t="s">
        <v>810</v>
      </c>
      <c r="B342" t="s">
        <v>9</v>
      </c>
      <c r="C342" t="s">
        <v>811</v>
      </c>
      <c r="E342">
        <v>1379</v>
      </c>
      <c r="F342" t="s">
        <v>11</v>
      </c>
      <c r="G342" t="s">
        <v>11</v>
      </c>
      <c r="H342" t="s">
        <v>12</v>
      </c>
      <c r="I342" t="s">
        <v>761</v>
      </c>
      <c r="J342" t="str">
        <f>HYPERLINK("https://portal.sunwardpharma.com/#/?id=203932&amp;&amp;type=latest", "Click Here")</f>
        <v>Click Here</v>
      </c>
    </row>
    <row r="343" spans="1:10" hidden="1" x14ac:dyDescent="0.3">
      <c r="A343" t="s">
        <v>808</v>
      </c>
      <c r="B343" t="s">
        <v>9</v>
      </c>
      <c r="C343" t="s">
        <v>809</v>
      </c>
      <c r="E343">
        <v>1298</v>
      </c>
      <c r="F343" t="s">
        <v>11</v>
      </c>
      <c r="G343" t="s">
        <v>11</v>
      </c>
      <c r="H343" t="s">
        <v>12</v>
      </c>
      <c r="I343" t="s">
        <v>761</v>
      </c>
      <c r="J343" t="str">
        <f>HYPERLINK("https://portal.sunwardpharma.com/#/?id=203933&amp;&amp;type=latest", "Click Here")</f>
        <v>Click Here</v>
      </c>
    </row>
    <row r="344" spans="1:10" hidden="1" x14ac:dyDescent="0.3">
      <c r="A344" t="s">
        <v>796</v>
      </c>
      <c r="B344" t="s">
        <v>9</v>
      </c>
      <c r="C344" t="s">
        <v>797</v>
      </c>
      <c r="E344">
        <v>1010</v>
      </c>
      <c r="F344" t="s">
        <v>11</v>
      </c>
      <c r="G344" t="s">
        <v>11</v>
      </c>
      <c r="H344" t="s">
        <v>12</v>
      </c>
      <c r="I344" t="s">
        <v>761</v>
      </c>
      <c r="J344" t="str">
        <f>HYPERLINK("https://portal.sunwardpharma.com/#/?id=203934&amp;&amp;type=latest", "Click Here")</f>
        <v>Click Here</v>
      </c>
    </row>
    <row r="345" spans="1:10" hidden="1" x14ac:dyDescent="0.3">
      <c r="A345" t="s">
        <v>792</v>
      </c>
      <c r="B345" t="s">
        <v>9</v>
      </c>
      <c r="C345" t="s">
        <v>793</v>
      </c>
      <c r="E345">
        <v>991</v>
      </c>
      <c r="F345" t="s">
        <v>11</v>
      </c>
      <c r="G345" t="s">
        <v>11</v>
      </c>
      <c r="H345" t="s">
        <v>12</v>
      </c>
      <c r="I345" t="s">
        <v>761</v>
      </c>
      <c r="J345" t="str">
        <f>HYPERLINK("https://portal.sunwardpharma.com/#/?id=203935&amp;&amp;type=latest", "Click Here")</f>
        <v>Click Here</v>
      </c>
    </row>
    <row r="346" spans="1:10" hidden="1" x14ac:dyDescent="0.3">
      <c r="A346" t="s">
        <v>835</v>
      </c>
      <c r="B346" t="s">
        <v>9</v>
      </c>
      <c r="C346" t="s">
        <v>836</v>
      </c>
      <c r="E346">
        <v>1897</v>
      </c>
      <c r="F346" t="s">
        <v>11</v>
      </c>
      <c r="G346" t="s">
        <v>11</v>
      </c>
      <c r="H346" t="s">
        <v>12</v>
      </c>
      <c r="I346" t="s">
        <v>826</v>
      </c>
      <c r="J346" t="str">
        <f>HYPERLINK("https://portal.sunwardpharma.com/#/?id=203936&amp;&amp;type=latest", "Click Here")</f>
        <v>Click Here</v>
      </c>
    </row>
    <row r="347" spans="1:10" hidden="1" x14ac:dyDescent="0.3">
      <c r="A347" t="s">
        <v>790</v>
      </c>
      <c r="B347" t="s">
        <v>9</v>
      </c>
      <c r="C347" t="s">
        <v>791</v>
      </c>
      <c r="E347">
        <v>911</v>
      </c>
      <c r="F347" t="s">
        <v>11</v>
      </c>
      <c r="G347" t="s">
        <v>11</v>
      </c>
      <c r="H347" t="s">
        <v>12</v>
      </c>
      <c r="I347" t="s">
        <v>761</v>
      </c>
      <c r="J347" t="str">
        <f>HYPERLINK("https://portal.sunwardpharma.com/#/?id=203937&amp;&amp;type=latest", "Click Here")</f>
        <v>Click Here</v>
      </c>
    </row>
    <row r="348" spans="1:10" hidden="1" x14ac:dyDescent="0.3">
      <c r="A348" t="s">
        <v>782</v>
      </c>
      <c r="B348" t="s">
        <v>9</v>
      </c>
      <c r="C348" t="s">
        <v>783</v>
      </c>
      <c r="E348">
        <v>800</v>
      </c>
      <c r="F348" t="s">
        <v>11</v>
      </c>
      <c r="G348" t="s">
        <v>11</v>
      </c>
      <c r="H348" t="s">
        <v>12</v>
      </c>
      <c r="I348" t="s">
        <v>761</v>
      </c>
      <c r="J348" t="str">
        <f>HYPERLINK("https://portal.sunwardpharma.com/#/?id=203938&amp;&amp;type=latest", "Click Here")</f>
        <v>Click Here</v>
      </c>
    </row>
    <row r="349" spans="1:10" hidden="1" x14ac:dyDescent="0.3">
      <c r="A349" t="s">
        <v>875</v>
      </c>
      <c r="B349" t="s">
        <v>9</v>
      </c>
      <c r="C349" t="s">
        <v>876</v>
      </c>
      <c r="E349">
        <v>12685</v>
      </c>
      <c r="F349" t="s">
        <v>11</v>
      </c>
      <c r="G349" t="s">
        <v>11</v>
      </c>
      <c r="H349" t="s">
        <v>12</v>
      </c>
      <c r="I349" t="s">
        <v>826</v>
      </c>
      <c r="J349" t="str">
        <f>HYPERLINK("https://portal.sunwardpharma.com/#/?id=203939&amp;&amp;type=latest", "Click Here")</f>
        <v>Click Here</v>
      </c>
    </row>
    <row r="350" spans="1:10" hidden="1" x14ac:dyDescent="0.3">
      <c r="A350" t="s">
        <v>843</v>
      </c>
      <c r="B350" t="s">
        <v>9</v>
      </c>
      <c r="C350" t="s">
        <v>844</v>
      </c>
      <c r="E350">
        <v>1438</v>
      </c>
      <c r="F350" t="s">
        <v>11</v>
      </c>
      <c r="G350" t="s">
        <v>11</v>
      </c>
      <c r="H350" t="s">
        <v>12</v>
      </c>
      <c r="I350" t="s">
        <v>826</v>
      </c>
      <c r="J350" t="str">
        <f>HYPERLINK("https://portal.sunwardpharma.com/#/?id=203940&amp;&amp;type=latest", "Click Here")</f>
        <v>Click Here</v>
      </c>
    </row>
    <row r="351" spans="1:10" hidden="1" x14ac:dyDescent="0.3">
      <c r="A351" t="s">
        <v>816</v>
      </c>
      <c r="B351" t="s">
        <v>9</v>
      </c>
      <c r="C351" t="s">
        <v>817</v>
      </c>
      <c r="E351">
        <v>1439</v>
      </c>
      <c r="F351" t="s">
        <v>11</v>
      </c>
      <c r="G351" t="s">
        <v>11</v>
      </c>
      <c r="H351" t="s">
        <v>12</v>
      </c>
      <c r="I351" t="s">
        <v>761</v>
      </c>
      <c r="J351" t="str">
        <f>HYPERLINK("https://portal.sunwardpharma.com/#/?id=203941&amp;&amp;type=latest", "Click Here")</f>
        <v>Click Here</v>
      </c>
    </row>
    <row r="352" spans="1:10" hidden="1" x14ac:dyDescent="0.3">
      <c r="A352" t="s">
        <v>822</v>
      </c>
      <c r="B352" t="s">
        <v>9</v>
      </c>
      <c r="C352" t="s">
        <v>823</v>
      </c>
      <c r="E352">
        <v>1404</v>
      </c>
      <c r="F352" t="s">
        <v>11</v>
      </c>
      <c r="G352" t="s">
        <v>11</v>
      </c>
      <c r="H352" t="s">
        <v>12</v>
      </c>
      <c r="I352" t="s">
        <v>761</v>
      </c>
      <c r="J352" t="str">
        <f>HYPERLINK("https://portal.sunwardpharma.com/#/?id=203942&amp;&amp;type=latest", "Click Here")</f>
        <v>Click Here</v>
      </c>
    </row>
    <row r="353" spans="1:10" hidden="1" x14ac:dyDescent="0.3">
      <c r="A353" t="s">
        <v>839</v>
      </c>
      <c r="B353" t="s">
        <v>9</v>
      </c>
      <c r="C353" t="s">
        <v>840</v>
      </c>
      <c r="E353">
        <v>1460</v>
      </c>
      <c r="F353" t="s">
        <v>11</v>
      </c>
      <c r="G353" t="s">
        <v>11</v>
      </c>
      <c r="H353" t="s">
        <v>12</v>
      </c>
      <c r="I353" t="s">
        <v>826</v>
      </c>
      <c r="J353" t="str">
        <f>HYPERLINK("https://portal.sunwardpharma.com/#/?id=203943&amp;&amp;type=latest", "Click Here")</f>
        <v>Click Here</v>
      </c>
    </row>
    <row r="354" spans="1:10" hidden="1" x14ac:dyDescent="0.3">
      <c r="A354" t="s">
        <v>812</v>
      </c>
      <c r="B354" t="s">
        <v>9</v>
      </c>
      <c r="C354" t="s">
        <v>813</v>
      </c>
      <c r="E354">
        <v>1011</v>
      </c>
      <c r="F354" t="s">
        <v>11</v>
      </c>
      <c r="G354" t="s">
        <v>11</v>
      </c>
      <c r="H354" t="s">
        <v>12</v>
      </c>
      <c r="I354" t="s">
        <v>761</v>
      </c>
      <c r="J354" t="str">
        <f>HYPERLINK("https://portal.sunwardpharma.com/#/?id=203944&amp;&amp;type=latest", "Click Here")</f>
        <v>Click Here</v>
      </c>
    </row>
    <row r="355" spans="1:10" hidden="1" x14ac:dyDescent="0.3">
      <c r="A355" t="s">
        <v>255</v>
      </c>
      <c r="B355" t="s">
        <v>9</v>
      </c>
      <c r="C355" t="s">
        <v>102</v>
      </c>
      <c r="E355">
        <v>3349</v>
      </c>
      <c r="F355" t="s">
        <v>11</v>
      </c>
      <c r="G355" t="s">
        <v>11</v>
      </c>
      <c r="H355" t="s">
        <v>256</v>
      </c>
      <c r="I355" t="s">
        <v>257</v>
      </c>
      <c r="J355" t="str">
        <f>HYPERLINK("https://portal.sunwardpharma.com/#/?id=203945&amp;&amp;type=latest", "Click Here")</f>
        <v>Click Here</v>
      </c>
    </row>
    <row r="356" spans="1:10" hidden="1" x14ac:dyDescent="0.3">
      <c r="A356" t="s">
        <v>798</v>
      </c>
      <c r="B356" t="s">
        <v>9</v>
      </c>
      <c r="C356" t="s">
        <v>799</v>
      </c>
      <c r="E356">
        <v>844</v>
      </c>
      <c r="F356" t="s">
        <v>11</v>
      </c>
      <c r="G356" t="s">
        <v>11</v>
      </c>
      <c r="H356" t="s">
        <v>12</v>
      </c>
      <c r="I356" t="s">
        <v>761</v>
      </c>
      <c r="J356" t="str">
        <f>HYPERLINK("https://portal.sunwardpharma.com/#/?id=203946&amp;&amp;type=latest", "Click Here")</f>
        <v>Click Here</v>
      </c>
    </row>
    <row r="357" spans="1:10" hidden="1" x14ac:dyDescent="0.3">
      <c r="A357" t="s">
        <v>764</v>
      </c>
      <c r="B357" t="s">
        <v>9</v>
      </c>
      <c r="C357" t="s">
        <v>765</v>
      </c>
      <c r="E357">
        <v>554</v>
      </c>
      <c r="F357" t="s">
        <v>11</v>
      </c>
      <c r="G357" t="s">
        <v>11</v>
      </c>
      <c r="H357" t="s">
        <v>12</v>
      </c>
      <c r="I357" t="s">
        <v>761</v>
      </c>
      <c r="J357" t="str">
        <f>HYPERLINK("https://portal.sunwardpharma.com/#/?id=203947&amp;&amp;type=latest", "Click Here")</f>
        <v>Click Here</v>
      </c>
    </row>
    <row r="358" spans="1:10" hidden="1" x14ac:dyDescent="0.3">
      <c r="A358" t="s">
        <v>855</v>
      </c>
      <c r="B358" t="s">
        <v>9</v>
      </c>
      <c r="C358" t="s">
        <v>856</v>
      </c>
      <c r="E358">
        <v>2074</v>
      </c>
      <c r="F358" t="s">
        <v>11</v>
      </c>
      <c r="G358" t="s">
        <v>11</v>
      </c>
      <c r="H358" t="s">
        <v>12</v>
      </c>
      <c r="I358" t="s">
        <v>826</v>
      </c>
      <c r="J358" t="str">
        <f>HYPERLINK("https://portal.sunwardpharma.com/#/?id=203948&amp;&amp;type=latest", "Click Here")</f>
        <v>Click Here</v>
      </c>
    </row>
    <row r="359" spans="1:10" hidden="1" x14ac:dyDescent="0.3">
      <c r="A359" t="s">
        <v>859</v>
      </c>
      <c r="B359" t="s">
        <v>9</v>
      </c>
      <c r="C359" t="s">
        <v>860</v>
      </c>
      <c r="E359">
        <v>2078</v>
      </c>
      <c r="F359" t="s">
        <v>11</v>
      </c>
      <c r="G359" t="s">
        <v>11</v>
      </c>
      <c r="H359" t="s">
        <v>12</v>
      </c>
      <c r="I359" t="s">
        <v>826</v>
      </c>
      <c r="J359" t="str">
        <f>HYPERLINK("https://portal.sunwardpharma.com/#/?id=203949&amp;&amp;type=latest", "Click Here")</f>
        <v>Click Here</v>
      </c>
    </row>
    <row r="360" spans="1:10" hidden="1" x14ac:dyDescent="0.3">
      <c r="A360" t="s">
        <v>806</v>
      </c>
      <c r="B360" t="s">
        <v>9</v>
      </c>
      <c r="C360" t="s">
        <v>807</v>
      </c>
      <c r="E360">
        <v>1277</v>
      </c>
      <c r="F360" t="s">
        <v>11</v>
      </c>
      <c r="G360" t="s">
        <v>11</v>
      </c>
      <c r="H360" t="s">
        <v>12</v>
      </c>
      <c r="I360" t="s">
        <v>761</v>
      </c>
      <c r="J360" t="str">
        <f>HYPERLINK("https://portal.sunwardpharma.com/#/?id=203950&amp;&amp;type=latest", "Click Here")</f>
        <v>Click Here</v>
      </c>
    </row>
    <row r="361" spans="1:10" hidden="1" x14ac:dyDescent="0.3">
      <c r="A361" t="s">
        <v>882</v>
      </c>
      <c r="B361" t="s">
        <v>9</v>
      </c>
      <c r="C361" t="s">
        <v>883</v>
      </c>
      <c r="E361">
        <v>1217</v>
      </c>
      <c r="F361" t="s">
        <v>11</v>
      </c>
      <c r="G361" t="s">
        <v>11</v>
      </c>
      <c r="H361" t="s">
        <v>12</v>
      </c>
      <c r="I361" t="s">
        <v>879</v>
      </c>
      <c r="J361" t="str">
        <f>HYPERLINK("https://portal.sunwardpharma.com/#/?id=203951&amp;&amp;type=latest", "Click Here")</f>
        <v>Click Here</v>
      </c>
    </row>
    <row r="362" spans="1:10" hidden="1" x14ac:dyDescent="0.3">
      <c r="A362" t="s">
        <v>886</v>
      </c>
      <c r="B362" t="s">
        <v>9</v>
      </c>
      <c r="C362" t="s">
        <v>887</v>
      </c>
      <c r="E362">
        <v>1796</v>
      </c>
      <c r="F362" t="s">
        <v>11</v>
      </c>
      <c r="G362" t="s">
        <v>11</v>
      </c>
      <c r="H362" t="s">
        <v>12</v>
      </c>
      <c r="I362" t="s">
        <v>879</v>
      </c>
      <c r="J362" t="str">
        <f>HYPERLINK("https://portal.sunwardpharma.com/#/?id=203952&amp;&amp;type=latest", "Click Here")</f>
        <v>Click Here</v>
      </c>
    </row>
    <row r="363" spans="1:10" hidden="1" x14ac:dyDescent="0.3">
      <c r="A363" t="s">
        <v>884</v>
      </c>
      <c r="B363" t="s">
        <v>9</v>
      </c>
      <c r="C363" t="s">
        <v>885</v>
      </c>
      <c r="E363">
        <v>1183</v>
      </c>
      <c r="F363" t="s">
        <v>11</v>
      </c>
      <c r="G363" t="s">
        <v>11</v>
      </c>
      <c r="H363" t="s">
        <v>12</v>
      </c>
      <c r="I363" t="s">
        <v>879</v>
      </c>
      <c r="J363" t="str">
        <f>HYPERLINK("https://portal.sunwardpharma.com/#/?id=203953&amp;&amp;type=latest", "Click Here")</f>
        <v>Click Here</v>
      </c>
    </row>
    <row r="364" spans="1:10" hidden="1" x14ac:dyDescent="0.3">
      <c r="A364" t="s">
        <v>880</v>
      </c>
      <c r="B364" t="s">
        <v>9</v>
      </c>
      <c r="C364" t="s">
        <v>881</v>
      </c>
      <c r="E364">
        <v>964</v>
      </c>
      <c r="F364" t="s">
        <v>11</v>
      </c>
      <c r="G364" t="s">
        <v>11</v>
      </c>
      <c r="H364" t="s">
        <v>12</v>
      </c>
      <c r="I364" t="s">
        <v>879</v>
      </c>
      <c r="J364" t="str">
        <f>HYPERLINK("https://portal.sunwardpharma.com/#/?id=203954&amp;&amp;type=latest", "Click Here")</f>
        <v>Click Here</v>
      </c>
    </row>
    <row r="365" spans="1:10" hidden="1" x14ac:dyDescent="0.3">
      <c r="A365" t="s">
        <v>892</v>
      </c>
      <c r="B365" t="s">
        <v>9</v>
      </c>
      <c r="C365" t="s">
        <v>893</v>
      </c>
      <c r="E365">
        <v>2802</v>
      </c>
      <c r="F365" t="s">
        <v>11</v>
      </c>
      <c r="G365" t="s">
        <v>11</v>
      </c>
      <c r="H365" t="s">
        <v>12</v>
      </c>
      <c r="I365" t="s">
        <v>879</v>
      </c>
      <c r="J365" t="str">
        <f>HYPERLINK("https://portal.sunwardpharma.com/#/?id=203955&amp;&amp;type=latest", "Click Here")</f>
        <v>Click Here</v>
      </c>
    </row>
    <row r="366" spans="1:10" hidden="1" x14ac:dyDescent="0.3">
      <c r="A366" t="s">
        <v>890</v>
      </c>
      <c r="B366" t="s">
        <v>9</v>
      </c>
      <c r="C366" t="s">
        <v>891</v>
      </c>
      <c r="E366">
        <v>1986</v>
      </c>
      <c r="F366" t="s">
        <v>11</v>
      </c>
      <c r="G366" t="s">
        <v>11</v>
      </c>
      <c r="H366" t="s">
        <v>12</v>
      </c>
      <c r="I366" t="s">
        <v>879</v>
      </c>
      <c r="J366" t="str">
        <f>HYPERLINK("https://portal.sunwardpharma.com/#/?id=203956&amp;&amp;type=latest", "Click Here")</f>
        <v>Click Here</v>
      </c>
    </row>
    <row r="367" spans="1:10" hidden="1" x14ac:dyDescent="0.3">
      <c r="A367" t="s">
        <v>888</v>
      </c>
      <c r="B367" t="s">
        <v>9</v>
      </c>
      <c r="C367" t="s">
        <v>889</v>
      </c>
      <c r="E367">
        <v>2228</v>
      </c>
      <c r="F367" t="s">
        <v>11</v>
      </c>
      <c r="G367" t="s">
        <v>11</v>
      </c>
      <c r="H367" t="s">
        <v>12</v>
      </c>
      <c r="I367" t="s">
        <v>879</v>
      </c>
      <c r="J367" t="str">
        <f>HYPERLINK("https://portal.sunwardpharma.com/#/?id=203957&amp;&amp;type=latest", "Click Here")</f>
        <v>Click Here</v>
      </c>
    </row>
    <row r="368" spans="1:10" hidden="1" x14ac:dyDescent="0.3">
      <c r="A368" t="s">
        <v>877</v>
      </c>
      <c r="B368" t="s">
        <v>9</v>
      </c>
      <c r="C368" t="s">
        <v>878</v>
      </c>
      <c r="E368">
        <v>844</v>
      </c>
      <c r="F368" t="s">
        <v>11</v>
      </c>
      <c r="G368" t="s">
        <v>11</v>
      </c>
      <c r="H368" t="s">
        <v>12</v>
      </c>
      <c r="I368" t="s">
        <v>879</v>
      </c>
      <c r="J368" t="str">
        <f>HYPERLINK("https://portal.sunwardpharma.com/#/?id=203958&amp;&amp;type=latest", "Click Here")</f>
        <v>Click Here</v>
      </c>
    </row>
    <row r="369" spans="1:10" hidden="1" x14ac:dyDescent="0.3">
      <c r="A369" t="s">
        <v>609</v>
      </c>
      <c r="B369" t="s">
        <v>9</v>
      </c>
      <c r="C369" t="s">
        <v>610</v>
      </c>
      <c r="E369">
        <v>1155</v>
      </c>
      <c r="F369" t="s">
        <v>11</v>
      </c>
      <c r="G369" t="s">
        <v>11</v>
      </c>
      <c r="H369" t="s">
        <v>12</v>
      </c>
      <c r="I369" t="s">
        <v>506</v>
      </c>
      <c r="J369" t="str">
        <f>HYPERLINK("https://portal.sunwardpharma.com/#/?id=203959&amp;&amp;type=latest", "Click Here")</f>
        <v>Click Here</v>
      </c>
    </row>
    <row r="370" spans="1:10" hidden="1" x14ac:dyDescent="0.3">
      <c r="A370" t="s">
        <v>392</v>
      </c>
      <c r="B370" t="s">
        <v>9</v>
      </c>
      <c r="C370" t="s">
        <v>669</v>
      </c>
      <c r="E370">
        <v>31156</v>
      </c>
      <c r="F370" t="s">
        <v>11</v>
      </c>
      <c r="G370" t="s">
        <v>11</v>
      </c>
      <c r="H370" t="s">
        <v>12</v>
      </c>
      <c r="I370" t="s">
        <v>670</v>
      </c>
      <c r="J370" t="str">
        <f>HYPERLINK("https://portal.sunwardpharma.com/#/?id=203962&amp;&amp;type=latest", "Click Here")</f>
        <v>Click Here</v>
      </c>
    </row>
    <row r="371" spans="1:10" hidden="1" x14ac:dyDescent="0.3">
      <c r="A371" t="s">
        <v>165</v>
      </c>
      <c r="B371" t="s">
        <v>9</v>
      </c>
      <c r="C371" t="s">
        <v>623</v>
      </c>
      <c r="E371">
        <v>2244</v>
      </c>
      <c r="F371" t="s">
        <v>11</v>
      </c>
      <c r="G371" t="s">
        <v>11</v>
      </c>
      <c r="H371" t="s">
        <v>12</v>
      </c>
      <c r="I371" t="s">
        <v>506</v>
      </c>
      <c r="J371" t="str">
        <f>HYPERLINK("https://portal.sunwardpharma.com/#/?id=203964&amp;&amp;type=latest", "Click Here")</f>
        <v>Click Here</v>
      </c>
    </row>
    <row r="372" spans="1:10" hidden="1" x14ac:dyDescent="0.3">
      <c r="A372" t="s">
        <v>98</v>
      </c>
      <c r="B372" t="s">
        <v>9</v>
      </c>
      <c r="C372" t="s">
        <v>497</v>
      </c>
      <c r="E372">
        <v>636</v>
      </c>
      <c r="F372" t="s">
        <v>11</v>
      </c>
      <c r="G372" t="s">
        <v>11</v>
      </c>
      <c r="H372" t="s">
        <v>12</v>
      </c>
      <c r="I372" t="s">
        <v>407</v>
      </c>
      <c r="J372" t="str">
        <f>HYPERLINK("https://portal.sunwardpharma.com/#/?id=203966&amp;&amp;type=latest", "Click Here")</f>
        <v>Click Here</v>
      </c>
    </row>
    <row r="373" spans="1:10" hidden="1" x14ac:dyDescent="0.3">
      <c r="A373" t="s">
        <v>92</v>
      </c>
      <c r="B373" t="s">
        <v>9</v>
      </c>
      <c r="C373" t="s">
        <v>406</v>
      </c>
      <c r="E373">
        <v>113</v>
      </c>
      <c r="F373" t="s">
        <v>11</v>
      </c>
      <c r="G373" t="s">
        <v>11</v>
      </c>
      <c r="H373" t="s">
        <v>12</v>
      </c>
      <c r="I373" t="s">
        <v>407</v>
      </c>
      <c r="J373" t="str">
        <f>HYPERLINK("https://portal.sunwardpharma.com/#/?id=203968&amp;&amp;type=latest", "Click Here")</f>
        <v>Click Here</v>
      </c>
    </row>
    <row r="374" spans="1:10" hidden="1" x14ac:dyDescent="0.3">
      <c r="A374" t="s">
        <v>95</v>
      </c>
      <c r="B374" t="s">
        <v>9</v>
      </c>
      <c r="C374" t="s">
        <v>408</v>
      </c>
      <c r="E374">
        <v>544</v>
      </c>
      <c r="F374" t="s">
        <v>11</v>
      </c>
      <c r="G374" t="s">
        <v>11</v>
      </c>
      <c r="H374" t="s">
        <v>12</v>
      </c>
      <c r="I374" t="s">
        <v>407</v>
      </c>
      <c r="J374" t="str">
        <f>HYPERLINK("https://portal.sunwardpharma.com/#/?id=203970&amp;&amp;type=latest", "Click Here")</f>
        <v>Click Here</v>
      </c>
    </row>
    <row r="375" spans="1:10" hidden="1" x14ac:dyDescent="0.3">
      <c r="A375" t="s">
        <v>94</v>
      </c>
      <c r="B375" t="s">
        <v>9</v>
      </c>
      <c r="C375" t="s">
        <v>494</v>
      </c>
      <c r="E375">
        <v>539</v>
      </c>
      <c r="F375" t="s">
        <v>11</v>
      </c>
      <c r="G375" t="s">
        <v>11</v>
      </c>
      <c r="H375" t="s">
        <v>12</v>
      </c>
      <c r="I375" t="s">
        <v>407</v>
      </c>
      <c r="J375" t="str">
        <f>HYPERLINK("https://portal.sunwardpharma.com/#/?id=203972&amp;&amp;type=latest", "Click Here")</f>
        <v>Click Here</v>
      </c>
    </row>
    <row r="376" spans="1:10" hidden="1" x14ac:dyDescent="0.3">
      <c r="A376" t="s">
        <v>96</v>
      </c>
      <c r="B376" t="s">
        <v>9</v>
      </c>
      <c r="C376" t="s">
        <v>410</v>
      </c>
      <c r="E376">
        <v>537</v>
      </c>
      <c r="F376" t="s">
        <v>11</v>
      </c>
      <c r="G376" t="s">
        <v>11</v>
      </c>
      <c r="H376" t="s">
        <v>12</v>
      </c>
      <c r="I376" t="s">
        <v>407</v>
      </c>
      <c r="J376" t="str">
        <f>HYPERLINK("https://portal.sunwardpharma.com/#/?id=203974&amp;&amp;type=latest", "Click Here")</f>
        <v>Click Here</v>
      </c>
    </row>
    <row r="377" spans="1:10" hidden="1" x14ac:dyDescent="0.3">
      <c r="A377" t="s">
        <v>154</v>
      </c>
      <c r="B377" t="s">
        <v>9</v>
      </c>
      <c r="C377" t="s">
        <v>515</v>
      </c>
      <c r="E377">
        <v>823</v>
      </c>
      <c r="F377" t="s">
        <v>11</v>
      </c>
      <c r="G377" t="s">
        <v>11</v>
      </c>
      <c r="H377" t="s">
        <v>12</v>
      </c>
      <c r="I377" t="s">
        <v>506</v>
      </c>
      <c r="J377" t="str">
        <f>HYPERLINK("https://portal.sunwardpharma.com/#/?id=203976&amp;&amp;type=latest", "Click Here")</f>
        <v>Click Here</v>
      </c>
    </row>
    <row r="378" spans="1:10" hidden="1" x14ac:dyDescent="0.3">
      <c r="A378" t="s">
        <v>97</v>
      </c>
      <c r="B378" t="s">
        <v>9</v>
      </c>
      <c r="C378" t="s">
        <v>501</v>
      </c>
      <c r="E378">
        <v>660</v>
      </c>
      <c r="F378" t="s">
        <v>11</v>
      </c>
      <c r="G378" t="s">
        <v>11</v>
      </c>
      <c r="H378" t="s">
        <v>12</v>
      </c>
      <c r="I378" t="s">
        <v>407</v>
      </c>
      <c r="J378" t="str">
        <f>HYPERLINK("https://portal.sunwardpharma.com/#/?id=203978&amp;&amp;type=latest", "Click Here")</f>
        <v>Click Here</v>
      </c>
    </row>
    <row r="379" spans="1:10" hidden="1" x14ac:dyDescent="0.3">
      <c r="A379" t="s">
        <v>150</v>
      </c>
      <c r="B379" t="s">
        <v>9</v>
      </c>
      <c r="C379" t="s">
        <v>504</v>
      </c>
      <c r="E379">
        <v>664</v>
      </c>
      <c r="F379" t="s">
        <v>11</v>
      </c>
      <c r="G379" t="s">
        <v>11</v>
      </c>
      <c r="H379" t="s">
        <v>12</v>
      </c>
      <c r="I379" t="s">
        <v>407</v>
      </c>
      <c r="J379" t="str">
        <f>HYPERLINK("https://portal.sunwardpharma.com/#/?id=203980&amp;&amp;type=latest", "Click Here")</f>
        <v>Click Here</v>
      </c>
    </row>
    <row r="380" spans="1:10" hidden="1" x14ac:dyDescent="0.3">
      <c r="A380" t="s">
        <v>152</v>
      </c>
      <c r="B380" t="s">
        <v>9</v>
      </c>
      <c r="C380" t="s">
        <v>509</v>
      </c>
      <c r="E380">
        <v>825</v>
      </c>
      <c r="F380" t="s">
        <v>11</v>
      </c>
      <c r="G380" t="s">
        <v>11</v>
      </c>
      <c r="H380" t="s">
        <v>12</v>
      </c>
      <c r="I380" t="s">
        <v>506</v>
      </c>
      <c r="J380" t="str">
        <f>HYPERLINK("https://portal.sunwardpharma.com/#/?id=203982&amp;&amp;type=latest", "Click Here")</f>
        <v>Click Here</v>
      </c>
    </row>
    <row r="381" spans="1:10" hidden="1" x14ac:dyDescent="0.3">
      <c r="A381" t="s">
        <v>155</v>
      </c>
      <c r="B381" t="s">
        <v>9</v>
      </c>
      <c r="C381" t="s">
        <v>604</v>
      </c>
      <c r="E381">
        <v>855</v>
      </c>
      <c r="F381" t="s">
        <v>11</v>
      </c>
      <c r="G381" t="s">
        <v>11</v>
      </c>
      <c r="H381" t="s">
        <v>12</v>
      </c>
      <c r="I381" t="s">
        <v>506</v>
      </c>
      <c r="J381" t="str">
        <f>HYPERLINK("https://portal.sunwardpharma.com/#/?id=203984&amp;&amp;type=latest", "Click Here")</f>
        <v>Click Here</v>
      </c>
    </row>
    <row r="382" spans="1:10" hidden="1" x14ac:dyDescent="0.3">
      <c r="A382" t="s">
        <v>158</v>
      </c>
      <c r="B382" t="s">
        <v>9</v>
      </c>
      <c r="C382" t="s">
        <v>614</v>
      </c>
      <c r="E382">
        <v>1086</v>
      </c>
      <c r="F382" t="s">
        <v>11</v>
      </c>
      <c r="G382" t="s">
        <v>11</v>
      </c>
      <c r="H382" t="s">
        <v>12</v>
      </c>
      <c r="I382" t="s">
        <v>506</v>
      </c>
      <c r="J382" t="str">
        <f>HYPERLINK("https://portal.sunwardpharma.com/#/?id=203986&amp;&amp;type=latest", "Click Here")</f>
        <v>Click Here</v>
      </c>
    </row>
    <row r="383" spans="1:10" hidden="1" x14ac:dyDescent="0.3">
      <c r="A383" t="s">
        <v>163</v>
      </c>
      <c r="B383" t="s">
        <v>9</v>
      </c>
      <c r="C383" t="s">
        <v>605</v>
      </c>
      <c r="E383">
        <v>1143</v>
      </c>
      <c r="F383" t="s">
        <v>11</v>
      </c>
      <c r="G383" t="s">
        <v>11</v>
      </c>
      <c r="H383" t="s">
        <v>12</v>
      </c>
      <c r="I383" t="s">
        <v>506</v>
      </c>
      <c r="J383" t="str">
        <f>HYPERLINK("https://portal.sunwardpharma.com/#/?id=203988&amp;&amp;type=latest", "Click Here")</f>
        <v>Click Here</v>
      </c>
    </row>
    <row r="384" spans="1:10" hidden="1" x14ac:dyDescent="0.3">
      <c r="A384" t="s">
        <v>99</v>
      </c>
      <c r="B384" t="s">
        <v>9</v>
      </c>
      <c r="C384" t="s">
        <v>603</v>
      </c>
      <c r="E384">
        <v>660</v>
      </c>
      <c r="F384" t="s">
        <v>11</v>
      </c>
      <c r="G384" t="s">
        <v>11</v>
      </c>
      <c r="H384" t="s">
        <v>12</v>
      </c>
      <c r="I384" t="s">
        <v>506</v>
      </c>
      <c r="J384" t="str">
        <f>HYPERLINK("https://portal.sunwardpharma.com/#/?id=203990&amp;&amp;type=latest", "Click Here")</f>
        <v>Click Here</v>
      </c>
    </row>
    <row r="385" spans="1:10" hidden="1" x14ac:dyDescent="0.3">
      <c r="A385" t="s">
        <v>93</v>
      </c>
      <c r="B385" t="s">
        <v>9</v>
      </c>
      <c r="C385" t="s">
        <v>409</v>
      </c>
      <c r="E385">
        <v>523</v>
      </c>
      <c r="F385" t="s">
        <v>11</v>
      </c>
      <c r="G385" t="s">
        <v>11</v>
      </c>
      <c r="H385" t="s">
        <v>12</v>
      </c>
      <c r="I385" t="s">
        <v>407</v>
      </c>
      <c r="J385" t="str">
        <f>HYPERLINK("https://portal.sunwardpharma.com/#/?id=203992&amp;&amp;type=latest", "Click Here")</f>
        <v>Click Here</v>
      </c>
    </row>
    <row r="386" spans="1:10" hidden="1" x14ac:dyDescent="0.3">
      <c r="A386" t="s">
        <v>162</v>
      </c>
      <c r="B386" t="s">
        <v>9</v>
      </c>
      <c r="C386" t="s">
        <v>616</v>
      </c>
      <c r="E386">
        <v>1160</v>
      </c>
      <c r="F386" t="s">
        <v>11</v>
      </c>
      <c r="G386" t="s">
        <v>11</v>
      </c>
      <c r="H386" t="s">
        <v>12</v>
      </c>
      <c r="I386" t="s">
        <v>506</v>
      </c>
      <c r="J386" t="str">
        <f>HYPERLINK("https://portal.sunwardpharma.com/#/?id=203994&amp;&amp;type=latest", "Click Here")</f>
        <v>Click Here</v>
      </c>
    </row>
    <row r="387" spans="1:10" hidden="1" x14ac:dyDescent="0.3">
      <c r="A387" t="s">
        <v>148</v>
      </c>
      <c r="B387" t="s">
        <v>9</v>
      </c>
      <c r="C387" t="s">
        <v>505</v>
      </c>
      <c r="E387">
        <v>726</v>
      </c>
      <c r="F387" t="s">
        <v>11</v>
      </c>
      <c r="G387" t="s">
        <v>11</v>
      </c>
      <c r="H387" t="s">
        <v>12</v>
      </c>
      <c r="I387" t="s">
        <v>506</v>
      </c>
      <c r="J387" t="str">
        <f>HYPERLINK("https://portal.sunwardpharma.com/#/?id=203996&amp;&amp;type=latest", "Click Here")</f>
        <v>Click Here</v>
      </c>
    </row>
    <row r="388" spans="1:10" hidden="1" x14ac:dyDescent="0.3">
      <c r="A388" t="s">
        <v>145</v>
      </c>
      <c r="B388" t="s">
        <v>9</v>
      </c>
      <c r="C388" t="s">
        <v>502</v>
      </c>
      <c r="E388">
        <v>695</v>
      </c>
      <c r="F388" t="s">
        <v>11</v>
      </c>
      <c r="G388" t="s">
        <v>11</v>
      </c>
      <c r="H388" t="s">
        <v>12</v>
      </c>
      <c r="I388" t="s">
        <v>407</v>
      </c>
      <c r="J388" t="str">
        <f>HYPERLINK("https://portal.sunwardpharma.com/#/?id=203998&amp;&amp;type=latest", "Click Here")</f>
        <v>Click Here</v>
      </c>
    </row>
    <row r="389" spans="1:10" hidden="1" x14ac:dyDescent="0.3">
      <c r="A389" t="s">
        <v>159</v>
      </c>
      <c r="B389" t="s">
        <v>9</v>
      </c>
      <c r="C389" t="s">
        <v>611</v>
      </c>
      <c r="E389">
        <v>1109</v>
      </c>
      <c r="F389" t="s">
        <v>11</v>
      </c>
      <c r="G389" t="s">
        <v>11</v>
      </c>
      <c r="H389" t="s">
        <v>12</v>
      </c>
      <c r="I389" t="s">
        <v>506</v>
      </c>
      <c r="J389" t="str">
        <f>HYPERLINK("https://portal.sunwardpharma.com/#/?id=204000&amp;&amp;type=latest", "Click Here")</f>
        <v>Click Here</v>
      </c>
    </row>
    <row r="390" spans="1:10" hidden="1" x14ac:dyDescent="0.3">
      <c r="A390" t="s">
        <v>160</v>
      </c>
      <c r="B390" t="s">
        <v>9</v>
      </c>
      <c r="C390" t="s">
        <v>612</v>
      </c>
      <c r="E390">
        <v>1106</v>
      </c>
      <c r="F390" t="s">
        <v>11</v>
      </c>
      <c r="G390" t="s">
        <v>11</v>
      </c>
      <c r="H390" t="s">
        <v>12</v>
      </c>
      <c r="I390" t="s">
        <v>506</v>
      </c>
      <c r="J390" t="str">
        <f>HYPERLINK("https://portal.sunwardpharma.com/#/?id=204002&amp;&amp;type=latest", "Click Here")</f>
        <v>Click Here</v>
      </c>
    </row>
    <row r="391" spans="1:10" hidden="1" x14ac:dyDescent="0.3">
      <c r="A391" t="s">
        <v>100</v>
      </c>
      <c r="B391" t="s">
        <v>9</v>
      </c>
      <c r="C391" t="s">
        <v>500</v>
      </c>
      <c r="E391">
        <v>632</v>
      </c>
      <c r="F391" t="s">
        <v>11</v>
      </c>
      <c r="G391" t="s">
        <v>11</v>
      </c>
      <c r="H391" t="s">
        <v>12</v>
      </c>
      <c r="I391" t="s">
        <v>407</v>
      </c>
      <c r="J391" t="str">
        <f>HYPERLINK("https://portal.sunwardpharma.com/#/?id=204004&amp;&amp;type=latest", "Click Here")</f>
        <v>Click Here</v>
      </c>
    </row>
    <row r="392" spans="1:10" hidden="1" x14ac:dyDescent="0.3">
      <c r="A392" t="s">
        <v>146</v>
      </c>
      <c r="B392" t="s">
        <v>9</v>
      </c>
      <c r="C392" t="s">
        <v>503</v>
      </c>
      <c r="E392">
        <v>642</v>
      </c>
      <c r="F392" t="s">
        <v>11</v>
      </c>
      <c r="G392" t="s">
        <v>11</v>
      </c>
      <c r="H392" t="s">
        <v>12</v>
      </c>
      <c r="I392" t="s">
        <v>407</v>
      </c>
      <c r="J392" t="str">
        <f>HYPERLINK("https://portal.sunwardpharma.com/#/?id=204006&amp;&amp;type=latest", "Click Here")</f>
        <v>Click Here</v>
      </c>
    </row>
    <row r="393" spans="1:10" hidden="1" x14ac:dyDescent="0.3">
      <c r="A393" t="s">
        <v>149</v>
      </c>
      <c r="B393" t="s">
        <v>9</v>
      </c>
      <c r="C393" t="s">
        <v>511</v>
      </c>
      <c r="E393">
        <v>634</v>
      </c>
      <c r="F393" t="s">
        <v>11</v>
      </c>
      <c r="G393" t="s">
        <v>11</v>
      </c>
      <c r="H393" t="s">
        <v>12</v>
      </c>
      <c r="I393" t="s">
        <v>506</v>
      </c>
      <c r="J393" t="str">
        <f>HYPERLINK("https://portal.sunwardpharma.com/#/?id=204008&amp;&amp;type=latest", "Click Here")</f>
        <v>Click Here</v>
      </c>
    </row>
    <row r="394" spans="1:10" hidden="1" x14ac:dyDescent="0.3">
      <c r="A394" t="s">
        <v>151</v>
      </c>
      <c r="B394" t="s">
        <v>9</v>
      </c>
      <c r="C394" t="s">
        <v>516</v>
      </c>
      <c r="E394">
        <v>725</v>
      </c>
      <c r="F394" t="s">
        <v>11</v>
      </c>
      <c r="G394" t="s">
        <v>11</v>
      </c>
      <c r="H394" t="s">
        <v>12</v>
      </c>
      <c r="I394" t="s">
        <v>506</v>
      </c>
      <c r="J394" t="str">
        <f>HYPERLINK("https://portal.sunwardpharma.com/#/?id=204010&amp;&amp;type=latest", "Click Here")</f>
        <v>Click Here</v>
      </c>
    </row>
    <row r="395" spans="1:10" hidden="1" x14ac:dyDescent="0.3">
      <c r="A395" t="s">
        <v>157</v>
      </c>
      <c r="B395" t="s">
        <v>9</v>
      </c>
      <c r="C395" t="s">
        <v>607</v>
      </c>
      <c r="E395">
        <v>878</v>
      </c>
      <c r="F395" t="s">
        <v>11</v>
      </c>
      <c r="G395" t="s">
        <v>11</v>
      </c>
      <c r="H395" t="s">
        <v>12</v>
      </c>
      <c r="I395" t="s">
        <v>506</v>
      </c>
      <c r="J395" t="str">
        <f>HYPERLINK("https://portal.sunwardpharma.com/#/?id=204012&amp;&amp;type=latest", "Click Here")</f>
        <v>Click Here</v>
      </c>
    </row>
    <row r="396" spans="1:10" hidden="1" x14ac:dyDescent="0.3">
      <c r="A396" t="s">
        <v>161</v>
      </c>
      <c r="B396" t="s">
        <v>9</v>
      </c>
      <c r="C396" t="s">
        <v>615</v>
      </c>
      <c r="E396">
        <v>1107</v>
      </c>
      <c r="F396" t="s">
        <v>11</v>
      </c>
      <c r="G396" t="s">
        <v>11</v>
      </c>
      <c r="H396" t="s">
        <v>12</v>
      </c>
      <c r="I396" t="s">
        <v>506</v>
      </c>
      <c r="J396" t="str">
        <f>HYPERLINK("https://portal.sunwardpharma.com/#/?id=204014&amp;&amp;type=latest", "Click Here")</f>
        <v>Click Here</v>
      </c>
    </row>
    <row r="397" spans="1:10" hidden="1" x14ac:dyDescent="0.3">
      <c r="A397" t="s">
        <v>164</v>
      </c>
      <c r="B397" t="s">
        <v>9</v>
      </c>
      <c r="C397" t="s">
        <v>619</v>
      </c>
      <c r="E397">
        <v>1099</v>
      </c>
      <c r="F397" t="s">
        <v>11</v>
      </c>
      <c r="G397" t="s">
        <v>11</v>
      </c>
      <c r="H397" t="s">
        <v>12</v>
      </c>
      <c r="I397" t="s">
        <v>506</v>
      </c>
      <c r="J397" t="str">
        <f>HYPERLINK("https://portal.sunwardpharma.com/#/?id=204016&amp;&amp;type=latest", "Click Here")</f>
        <v>Click Here</v>
      </c>
    </row>
    <row r="398" spans="1:10" hidden="1" x14ac:dyDescent="0.3">
      <c r="A398" t="s">
        <v>156</v>
      </c>
      <c r="B398" t="s">
        <v>9</v>
      </c>
      <c r="C398" t="s">
        <v>512</v>
      </c>
      <c r="E398">
        <v>859</v>
      </c>
      <c r="F398" t="s">
        <v>11</v>
      </c>
      <c r="G398" t="s">
        <v>11</v>
      </c>
      <c r="H398" t="s">
        <v>12</v>
      </c>
      <c r="I398" t="s">
        <v>506</v>
      </c>
      <c r="J398" t="str">
        <f>HYPERLINK("https://portal.sunwardpharma.com/#/?id=204018&amp;&amp;type=latest", "Click Here")</f>
        <v>Click Here</v>
      </c>
    </row>
    <row r="399" spans="1:10" x14ac:dyDescent="0.3">
      <c r="A399" t="s">
        <v>147</v>
      </c>
      <c r="B399" t="s">
        <v>9</v>
      </c>
      <c r="C399" s="1" t="s">
        <v>495</v>
      </c>
      <c r="D399" s="1" t="s">
        <v>897</v>
      </c>
      <c r="E399">
        <v>609</v>
      </c>
      <c r="F399" t="s">
        <v>11</v>
      </c>
      <c r="G399" t="s">
        <v>11</v>
      </c>
      <c r="H399" t="s">
        <v>12</v>
      </c>
      <c r="I399" t="s">
        <v>407</v>
      </c>
      <c r="J399" t="str">
        <f>HYPERLINK("https://portal.sunwardpharma.com/#/?id=204020&amp;&amp;type=latest", "Click Here")</f>
        <v>Click Here</v>
      </c>
    </row>
    <row r="400" spans="1:10" x14ac:dyDescent="0.3">
      <c r="A400" t="s">
        <v>153</v>
      </c>
      <c r="B400" t="s">
        <v>9</v>
      </c>
      <c r="C400" s="1" t="s">
        <v>510</v>
      </c>
      <c r="D400" s="1" t="s">
        <v>910</v>
      </c>
      <c r="E400">
        <v>808</v>
      </c>
      <c r="F400" t="s">
        <v>11</v>
      </c>
      <c r="G400" t="s">
        <v>11</v>
      </c>
      <c r="H400" t="s">
        <v>12</v>
      </c>
      <c r="I400" t="s">
        <v>506</v>
      </c>
      <c r="J400" t="str">
        <f>HYPERLINK("https://portal.sunwardpharma.com/#/?id=204022&amp;&amp;type=latest", "Click Here")</f>
        <v>Click Here</v>
      </c>
    </row>
    <row r="401" spans="1:10" x14ac:dyDescent="0.3">
      <c r="A401" t="s">
        <v>391</v>
      </c>
      <c r="B401" t="s">
        <v>9</v>
      </c>
      <c r="C401" s="1" t="s">
        <v>624</v>
      </c>
      <c r="D401" s="1" t="s">
        <v>898</v>
      </c>
      <c r="E401">
        <v>5694</v>
      </c>
      <c r="F401" t="s">
        <v>11</v>
      </c>
      <c r="G401" t="s">
        <v>11</v>
      </c>
      <c r="H401" t="s">
        <v>12</v>
      </c>
      <c r="I401" t="s">
        <v>506</v>
      </c>
      <c r="J401" t="str">
        <f>HYPERLINK("https://portal.sunwardpharma.com/#/?id=204024&amp;&amp;type=latest", "Click Here")</f>
        <v>Click Here</v>
      </c>
    </row>
    <row r="402" spans="1:10" x14ac:dyDescent="0.3">
      <c r="A402" t="s">
        <v>399</v>
      </c>
      <c r="B402" t="s">
        <v>9</v>
      </c>
      <c r="C402" s="1" t="s">
        <v>620</v>
      </c>
      <c r="D402" s="1" t="s">
        <v>899</v>
      </c>
      <c r="E402">
        <v>1134</v>
      </c>
      <c r="F402" t="s">
        <v>11</v>
      </c>
      <c r="G402" t="s">
        <v>11</v>
      </c>
      <c r="H402" t="s">
        <v>12</v>
      </c>
      <c r="I402" t="s">
        <v>506</v>
      </c>
      <c r="J402" t="str">
        <f>HYPERLINK("https://portal.sunwardpharma.com/#/?id=204026&amp;&amp;type=latest", "Click Here")</f>
        <v>Click Here</v>
      </c>
    </row>
    <row r="403" spans="1:10" x14ac:dyDescent="0.3">
      <c r="A403" t="s">
        <v>398</v>
      </c>
      <c r="B403" t="s">
        <v>9</v>
      </c>
      <c r="C403" s="1" t="s">
        <v>613</v>
      </c>
      <c r="D403" s="1" t="s">
        <v>900</v>
      </c>
      <c r="E403">
        <v>1105</v>
      </c>
      <c r="F403" t="s">
        <v>11</v>
      </c>
      <c r="G403" t="s">
        <v>11</v>
      </c>
      <c r="H403" t="s">
        <v>12</v>
      </c>
      <c r="I403" t="s">
        <v>506</v>
      </c>
      <c r="J403" t="str">
        <f>HYPERLINK("https://portal.sunwardpharma.com/#/?id=204028&amp;&amp;type=latest", "Click Here")</f>
        <v>Click Here</v>
      </c>
    </row>
    <row r="404" spans="1:10" x14ac:dyDescent="0.3">
      <c r="A404" t="s">
        <v>401</v>
      </c>
      <c r="B404" t="s">
        <v>9</v>
      </c>
      <c r="C404" s="1" t="s">
        <v>622</v>
      </c>
      <c r="D404" s="1" t="s">
        <v>901</v>
      </c>
      <c r="E404">
        <v>1133</v>
      </c>
      <c r="F404" t="s">
        <v>11</v>
      </c>
      <c r="G404" t="s">
        <v>11</v>
      </c>
      <c r="H404" t="s">
        <v>12</v>
      </c>
      <c r="I404" t="s">
        <v>506</v>
      </c>
      <c r="J404" t="str">
        <f>HYPERLINK("https://portal.sunwardpharma.com/#/?id=204030&amp;&amp;type=latest", "Click Here")</f>
        <v>Click Here</v>
      </c>
    </row>
    <row r="405" spans="1:10" x14ac:dyDescent="0.3">
      <c r="A405" t="s">
        <v>400</v>
      </c>
      <c r="B405" t="s">
        <v>9</v>
      </c>
      <c r="C405" s="1" t="s">
        <v>608</v>
      </c>
      <c r="D405" s="1" t="s">
        <v>902</v>
      </c>
      <c r="E405">
        <v>1118</v>
      </c>
      <c r="F405" t="s">
        <v>11</v>
      </c>
      <c r="G405" t="s">
        <v>11</v>
      </c>
      <c r="H405" t="s">
        <v>12</v>
      </c>
      <c r="I405" t="s">
        <v>506</v>
      </c>
      <c r="J405" t="str">
        <f>HYPERLINK("https://portal.sunwardpharma.com/#/?id=204032&amp;&amp;type=latest", "Click Here")</f>
        <v>Click Here</v>
      </c>
    </row>
    <row r="406" spans="1:10" x14ac:dyDescent="0.3">
      <c r="A406" t="s">
        <v>397</v>
      </c>
      <c r="B406" t="s">
        <v>9</v>
      </c>
      <c r="C406" s="1" t="s">
        <v>606</v>
      </c>
      <c r="D406" s="1" t="s">
        <v>903</v>
      </c>
      <c r="E406">
        <v>1135</v>
      </c>
      <c r="F406" t="s">
        <v>11</v>
      </c>
      <c r="G406" t="s">
        <v>11</v>
      </c>
      <c r="H406" t="s">
        <v>12</v>
      </c>
      <c r="I406" t="s">
        <v>506</v>
      </c>
      <c r="J406" t="str">
        <f>HYPERLINK("https://portal.sunwardpharma.com/#/?id=204034&amp;&amp;type=latest", "Click Here")</f>
        <v>Click Here</v>
      </c>
    </row>
    <row r="407" spans="1:10" x14ac:dyDescent="0.3">
      <c r="A407" t="s">
        <v>396</v>
      </c>
      <c r="B407" t="s">
        <v>9</v>
      </c>
      <c r="C407" s="1" t="s">
        <v>508</v>
      </c>
      <c r="D407" s="1" t="s">
        <v>904</v>
      </c>
      <c r="E407">
        <v>713</v>
      </c>
      <c r="F407" t="s">
        <v>11</v>
      </c>
      <c r="G407" t="s">
        <v>11</v>
      </c>
      <c r="H407" t="s">
        <v>12</v>
      </c>
      <c r="I407" t="s">
        <v>506</v>
      </c>
      <c r="J407" t="str">
        <f>HYPERLINK("https://portal.sunwardpharma.com/#/?id=204036&amp;&amp;type=latest", "Click Here")</f>
        <v>Click Here</v>
      </c>
    </row>
    <row r="408" spans="1:10" x14ac:dyDescent="0.3">
      <c r="A408" t="s">
        <v>402</v>
      </c>
      <c r="B408" t="s">
        <v>9</v>
      </c>
      <c r="C408" s="1" t="s">
        <v>621</v>
      </c>
      <c r="D408" s="1" t="s">
        <v>905</v>
      </c>
      <c r="E408">
        <v>1115</v>
      </c>
      <c r="F408" t="s">
        <v>11</v>
      </c>
      <c r="G408" t="s">
        <v>11</v>
      </c>
      <c r="H408" t="s">
        <v>12</v>
      </c>
      <c r="I408" t="s">
        <v>506</v>
      </c>
      <c r="J408" t="str">
        <f>HYPERLINK("https://portal.sunwardpharma.com/#/?id=204038&amp;&amp;type=latest", "Click Here")</f>
        <v>Click Here</v>
      </c>
    </row>
    <row r="409" spans="1:10" x14ac:dyDescent="0.3">
      <c r="A409" t="s">
        <v>394</v>
      </c>
      <c r="B409" t="s">
        <v>9</v>
      </c>
      <c r="C409" s="1" t="s">
        <v>507</v>
      </c>
      <c r="D409" s="1" t="s">
        <v>906</v>
      </c>
      <c r="E409">
        <v>630</v>
      </c>
      <c r="F409" t="s">
        <v>11</v>
      </c>
      <c r="G409" t="s">
        <v>11</v>
      </c>
      <c r="H409" t="s">
        <v>12</v>
      </c>
      <c r="I409" t="s">
        <v>506</v>
      </c>
      <c r="J409" t="str">
        <f>HYPERLINK("https://portal.sunwardpharma.com/#/?id=204040&amp;&amp;type=latest", "Click Here")</f>
        <v>Click Here</v>
      </c>
    </row>
    <row r="410" spans="1:10" x14ac:dyDescent="0.3">
      <c r="A410" t="s">
        <v>395</v>
      </c>
      <c r="B410" t="s">
        <v>9</v>
      </c>
      <c r="C410" s="1" t="s">
        <v>496</v>
      </c>
      <c r="D410" s="1" t="s">
        <v>907</v>
      </c>
      <c r="E410">
        <v>630</v>
      </c>
      <c r="F410" t="s">
        <v>11</v>
      </c>
      <c r="G410" t="s">
        <v>11</v>
      </c>
      <c r="H410" t="s">
        <v>12</v>
      </c>
      <c r="I410" t="s">
        <v>407</v>
      </c>
      <c r="J410" t="str">
        <f>HYPERLINK("https://portal.sunwardpharma.com/#/?id=204042&amp;&amp;type=latest", "Click Here")</f>
        <v>Click Here</v>
      </c>
    </row>
    <row r="411" spans="1:10" x14ac:dyDescent="0.3">
      <c r="A411" t="s">
        <v>393</v>
      </c>
      <c r="B411" t="s">
        <v>9</v>
      </c>
      <c r="C411" s="1" t="s">
        <v>499</v>
      </c>
      <c r="D411" s="1" t="s">
        <v>908</v>
      </c>
      <c r="E411">
        <v>566</v>
      </c>
      <c r="F411" t="s">
        <v>11</v>
      </c>
      <c r="G411" t="s">
        <v>11</v>
      </c>
      <c r="H411" t="s">
        <v>12</v>
      </c>
      <c r="I411" t="s">
        <v>407</v>
      </c>
      <c r="J411" t="str">
        <f>HYPERLINK("https://portal.sunwardpharma.com/#/?id=204044&amp;&amp;type=latest", "Click Here")</f>
        <v>Click Here</v>
      </c>
    </row>
    <row r="412" spans="1:10" x14ac:dyDescent="0.3">
      <c r="A412" t="s">
        <v>403</v>
      </c>
      <c r="B412" t="s">
        <v>9</v>
      </c>
      <c r="C412" s="1" t="s">
        <v>625</v>
      </c>
      <c r="D412" s="1" t="s">
        <v>909</v>
      </c>
      <c r="E412">
        <v>5983</v>
      </c>
      <c r="F412" t="s">
        <v>11</v>
      </c>
      <c r="G412" t="s">
        <v>11</v>
      </c>
      <c r="H412" t="s">
        <v>12</v>
      </c>
      <c r="I412" t="s">
        <v>506</v>
      </c>
      <c r="J412" t="str">
        <f>HYPERLINK("https://portal.sunwardpharma.com/#/?id=204046&amp;&amp;type=latest", "Click Here")</f>
        <v>Click Here</v>
      </c>
    </row>
    <row r="413" spans="1:10" x14ac:dyDescent="0.3">
      <c r="A413" t="s">
        <v>405</v>
      </c>
      <c r="B413" t="s">
        <v>9</v>
      </c>
      <c r="C413" s="1" t="s">
        <v>626</v>
      </c>
      <c r="D413" s="1" t="s">
        <v>911</v>
      </c>
      <c r="E413">
        <v>5989</v>
      </c>
      <c r="F413" t="s">
        <v>11</v>
      </c>
      <c r="G413" t="s">
        <v>11</v>
      </c>
      <c r="H413" t="s">
        <v>12</v>
      </c>
      <c r="I413" t="s">
        <v>506</v>
      </c>
      <c r="J413" t="str">
        <f>HYPERLINK("https://portal.sunwardpharma.com/#/?id=204052&amp;&amp;type=latest", "Click Here")</f>
        <v>Click Here</v>
      </c>
    </row>
    <row r="414" spans="1:10" x14ac:dyDescent="0.3">
      <c r="A414" t="s">
        <v>404</v>
      </c>
      <c r="B414" t="s">
        <v>9</v>
      </c>
      <c r="C414" s="1" t="s">
        <v>498</v>
      </c>
      <c r="D414" s="1" t="s">
        <v>912</v>
      </c>
      <c r="E414">
        <v>584</v>
      </c>
      <c r="F414" t="s">
        <v>11</v>
      </c>
      <c r="G414" t="s">
        <v>11</v>
      </c>
      <c r="H414" t="s">
        <v>12</v>
      </c>
      <c r="I414" t="s">
        <v>407</v>
      </c>
      <c r="J414" t="str">
        <f>HYPERLINK("https://portal.sunwardpharma.com/#/?id=204055&amp;&amp;type=latest", "Click Here")</f>
        <v>Click Here</v>
      </c>
    </row>
    <row r="415" spans="1:10" x14ac:dyDescent="0.3">
      <c r="A415" t="s">
        <v>617</v>
      </c>
      <c r="B415" t="s">
        <v>9</v>
      </c>
      <c r="C415" s="1" t="s">
        <v>618</v>
      </c>
      <c r="D415" s="1" t="s">
        <v>913</v>
      </c>
      <c r="E415">
        <v>1094</v>
      </c>
      <c r="F415" t="s">
        <v>11</v>
      </c>
      <c r="G415" t="s">
        <v>11</v>
      </c>
      <c r="H415" t="s">
        <v>12</v>
      </c>
      <c r="I415" t="s">
        <v>506</v>
      </c>
      <c r="J415" t="str">
        <f>HYPERLINK("https://portal.sunwardpharma.com/#/?id=204057&amp;&amp;type=latest", "Click Here")</f>
        <v>Click Here</v>
      </c>
    </row>
    <row r="416" spans="1:10" x14ac:dyDescent="0.3">
      <c r="A416" t="s">
        <v>513</v>
      </c>
      <c r="B416" t="s">
        <v>9</v>
      </c>
      <c r="C416" s="1" t="s">
        <v>514</v>
      </c>
      <c r="D416" s="1" t="s">
        <v>914</v>
      </c>
      <c r="E416">
        <v>925</v>
      </c>
      <c r="F416" t="s">
        <v>11</v>
      </c>
      <c r="G416" t="s">
        <v>11</v>
      </c>
      <c r="H416" t="s">
        <v>12</v>
      </c>
      <c r="I416" t="s">
        <v>506</v>
      </c>
      <c r="J416" t="str">
        <f>HYPERLINK("https://portal.sunwardpharma.com/#/?id=204059&amp;&amp;type=latest", "Click Here")</f>
        <v>Click Here</v>
      </c>
    </row>
  </sheetData>
  <autoFilter ref="A1:I416">
    <filterColumn colId="2">
      <colorFilter dxfId="0"/>
    </filterColumn>
    <sortState ref="A2:H46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1) SWMAL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sooqing</cp:lastModifiedBy>
  <dcterms:modified xsi:type="dcterms:W3CDTF">2024-01-12T07:09:08Z</dcterms:modified>
</cp:coreProperties>
</file>