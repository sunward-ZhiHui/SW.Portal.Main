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11"/>
  <workbookPr/>
  <mc:AlternateContent xmlns:mc="http://schemas.openxmlformats.org/markup-compatibility/2006">
    <mc:Choice Requires="x15">
      <x15ac:absPath xmlns:x15ac="http://schemas.microsoft.com/office/spreadsheetml/2010/11/ac" url="C:\Users\qa.asst3.SUN\Documents\July 2023\13 July\"/>
    </mc:Choice>
  </mc:AlternateContent>
  <xr:revisionPtr revIDLastSave="1" documentId="11_F637F18B47734D26E7D35C887D4DAC5A496F273A" xr6:coauthVersionLast="47" xr6:coauthVersionMax="47" xr10:uidLastSave="{2E8066F5-3137-455F-A791-82F8E6802041}"/>
  <bookViews>
    <workbookView xWindow="0" yWindow="0" windowWidth="20490" windowHeight="7755" xr2:uid="{00000000-000D-0000-FFFF-FFFF00000000}"/>
  </bookViews>
  <sheets>
    <sheet name="MH2 335-23064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2" l="1"/>
  <c r="E45" i="2"/>
  <c r="E43" i="2"/>
  <c r="E42" i="2"/>
  <c r="E53" i="2" l="1"/>
  <c r="E51" i="2"/>
  <c r="E50" i="2"/>
  <c r="E39" i="2"/>
  <c r="E38" i="2"/>
  <c r="E37" i="2"/>
  <c r="E36" i="2"/>
  <c r="E34" i="2" l="1"/>
  <c r="E33" i="2"/>
  <c r="E30" i="2"/>
  <c r="E29" i="2"/>
  <c r="E28" i="2"/>
  <c r="E27" i="2"/>
  <c r="E26" i="2"/>
  <c r="E25" i="2"/>
  <c r="E24" i="2"/>
  <c r="E23" i="2"/>
  <c r="E22" i="2"/>
  <c r="B58" i="2" s="1"/>
  <c r="E18" i="2"/>
  <c r="B57" i="2" s="1"/>
  <c r="E16" i="2"/>
  <c r="E15" i="2"/>
</calcChain>
</file>

<file path=xl/sharedStrings.xml><?xml version="1.0" encoding="utf-8"?>
<sst xmlns="http://schemas.openxmlformats.org/spreadsheetml/2006/main" count="91" uniqueCount="78">
  <si>
    <t>Date</t>
  </si>
  <si>
    <t>Day</t>
  </si>
  <si>
    <t>Thursday</t>
  </si>
  <si>
    <t>Room</t>
  </si>
  <si>
    <t xml:space="preserve">Line 1 </t>
  </si>
  <si>
    <t>Machine</t>
  </si>
  <si>
    <t>MH2 Labelling Machine</t>
  </si>
  <si>
    <t>Product</t>
  </si>
  <si>
    <t>Sunizine Syrup</t>
  </si>
  <si>
    <t>Batch number</t>
  </si>
  <si>
    <t>335-23064</t>
  </si>
  <si>
    <t>Ticket number</t>
  </si>
  <si>
    <t>MS23-0752</t>
  </si>
  <si>
    <t>Pack size</t>
  </si>
  <si>
    <t>Uniart 60ml</t>
  </si>
  <si>
    <t>Manpower</t>
  </si>
  <si>
    <t>4 (Junaiha, Nora, Zainab &amp; Halmaisah)</t>
  </si>
  <si>
    <t>Monitored by</t>
  </si>
  <si>
    <t>Syukri</t>
  </si>
  <si>
    <t>Verified by</t>
  </si>
  <si>
    <t>Saifuddin</t>
  </si>
  <si>
    <t>Timeline</t>
  </si>
  <si>
    <t>Time start</t>
  </si>
  <si>
    <t>Time end</t>
  </si>
  <si>
    <t>Process/Events/Description</t>
  </si>
  <si>
    <t>Refer Photo/Video</t>
  </si>
  <si>
    <t>Time taken (h:mm)</t>
  </si>
  <si>
    <t>Print 600 label pieces for cartons</t>
  </si>
  <si>
    <t>Maintenance (Saifuddin) verify</t>
  </si>
  <si>
    <t>P1</t>
  </si>
  <si>
    <t>- Change hologram delay from 3mm to 4mm</t>
  </si>
  <si>
    <t>Labelling process start</t>
  </si>
  <si>
    <t>P2, P3, P4, P5, P6, P7, P8, P9 &amp; P10</t>
  </si>
  <si>
    <t xml:space="preserve">Machine speed: 103 bpm
</t>
  </si>
  <si>
    <t xml:space="preserve">Operator 1:
-Load bottles on turntable.
-Monitor labelling process and change label roll when necessary.
Operator 2 &amp; 3: 
-Packed bottles into cartons.
Operator 4: 
-Put leaflets, sealed, weighed cartons and recorded on weight checking form
</t>
  </si>
  <si>
    <t>2:58 pm - No stoppage, missing hologram (false reject) 3 bottles</t>
  </si>
  <si>
    <t>Stoppage due to maintenance (Saifuddin) change hologram delay from 4mm to 3mm due to inconsistent hologram</t>
  </si>
  <si>
    <t>V1</t>
  </si>
  <si>
    <t>Resume labelling process</t>
  </si>
  <si>
    <t>Stoppage due to operator (Zainab) remove label waste</t>
  </si>
  <si>
    <t>Upstream due to primary found stain on bottle</t>
  </si>
  <si>
    <t>Stoppage due to sticky on bottles. Operator (Zainab) wipe the affected bottles</t>
  </si>
  <si>
    <t>Stoppage due to operator (Halmaisah) change label</t>
  </si>
  <si>
    <t>P11</t>
  </si>
  <si>
    <t>3:37 pm - No stoppage, fault on label (false reject) 1 bottle</t>
  </si>
  <si>
    <t>3:42 pm - 1 slanted cap (manual)</t>
  </si>
  <si>
    <t>Stoppage due to operator (Nora) remove label waste</t>
  </si>
  <si>
    <t>3:58 pm - No stoppage, completed first pallet (100 cartons)</t>
  </si>
  <si>
    <t>Stoppage due to operator (Halmaisah) change hologram and remove hologram waste</t>
  </si>
  <si>
    <t>Stoppage due to operator (Halmaisah) remove label waste</t>
  </si>
  <si>
    <t>4:27 pm - No stoppage, fault on label (false reject) 1 bottle</t>
  </si>
  <si>
    <t>4:45 pm - No stoppage, missing hologram (false reject) 1 bottle</t>
  </si>
  <si>
    <t>Stoppage due to operator (Zainab) change label and remove label waste</t>
  </si>
  <si>
    <t>4:53 pm - No stoppage, completed second pallet (100 cartons)</t>
  </si>
  <si>
    <t>P12, V2 &amp; V3</t>
  </si>
  <si>
    <t>5:10 pm - 1 deform neck (mould 4)</t>
  </si>
  <si>
    <t>5:15 pm - 1 slanted cap (manual)</t>
  </si>
  <si>
    <t>5:17 pm - 1 deform neck (mould 4)</t>
  </si>
  <si>
    <t>Stoppage due to operator (Raj) change label</t>
  </si>
  <si>
    <t>P13</t>
  </si>
  <si>
    <t>5:34 pm - No stoppage, fault on label (double printing) 1 bottle</t>
  </si>
  <si>
    <t>Completed labelling process. Completed third pallet (100 cartons)</t>
  </si>
  <si>
    <t>Output</t>
  </si>
  <si>
    <t>Actual quantity</t>
  </si>
  <si>
    <t>bottles</t>
  </si>
  <si>
    <t>Total time taken (including downtime)</t>
  </si>
  <si>
    <t>hours and minutes</t>
  </si>
  <si>
    <t>Downtime</t>
  </si>
  <si>
    <t>HMI speed</t>
  </si>
  <si>
    <t>bpm</t>
  </si>
  <si>
    <t>Product Quality Check</t>
  </si>
  <si>
    <t>Description</t>
  </si>
  <si>
    <t>No. of bottles</t>
  </si>
  <si>
    <t xml:space="preserve">Deform neck </t>
  </si>
  <si>
    <t>V2 &amp; V3</t>
  </si>
  <si>
    <t>Slanted cap (manual)</t>
  </si>
  <si>
    <t>P11 &amp; P12</t>
  </si>
  <si>
    <t>Double printing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</si>
</sst>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h]:mm:ss;@"/>
  </numFmts>
  <fonts count="7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i/>
      <sz val="9"/>
      <color rgb="FFFF0000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i/>
      <sz val="9"/>
      <color rgb="FF1E1E1E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vertical="top"/>
    </xf>
    <xf numFmtId="14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18" fontId="6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2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vertical="top" wrapText="1"/>
    </xf>
    <xf numFmtId="165" fontId="2" fillId="0" borderId="1" xfId="0" applyNumberFormat="1" applyFont="1" applyBorder="1" applyAlignment="1">
      <alignment horizontal="right" vertical="top"/>
    </xf>
    <xf numFmtId="45" fontId="4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8" xfId="0" quotePrefix="1" applyFont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20" fontId="2" fillId="0" borderId="1" xfId="0" applyNumberFormat="1" applyFont="1" applyBorder="1" applyAlignment="1">
      <alignment vertical="top"/>
    </xf>
    <xf numFmtId="0" fontId="2" fillId="0" borderId="8" xfId="0" applyFont="1" applyBorder="1" applyAlignment="1">
      <alignment vertical="top"/>
    </xf>
    <xf numFmtId="20" fontId="2" fillId="0" borderId="3" xfId="0" applyNumberFormat="1" applyFont="1" applyBorder="1" applyAlignment="1">
      <alignment vertical="top" wrapText="1"/>
    </xf>
    <xf numFmtId="20" fontId="2" fillId="0" borderId="2" xfId="0" applyNumberFormat="1" applyFont="1" applyBorder="1" applyAlignment="1">
      <alignment vertical="top"/>
    </xf>
    <xf numFmtId="20" fontId="2" fillId="0" borderId="3" xfId="0" applyNumberFormat="1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20" fontId="2" fillId="0" borderId="8" xfId="0" applyNumberFormat="1" applyFont="1" applyBorder="1" applyAlignment="1">
      <alignment vertical="top"/>
    </xf>
    <xf numFmtId="20" fontId="2" fillId="0" borderId="8" xfId="0" applyNumberFormat="1" applyFont="1" applyBorder="1" applyAlignment="1">
      <alignment vertical="top" wrapText="1"/>
    </xf>
    <xf numFmtId="18" fontId="6" fillId="0" borderId="2" xfId="0" applyNumberFormat="1" applyFont="1" applyBorder="1" applyAlignment="1">
      <alignment horizontal="left" vertical="top" wrapText="1"/>
    </xf>
    <xf numFmtId="18" fontId="6" fillId="0" borderId="3" xfId="0" applyNumberFormat="1" applyFont="1" applyBorder="1" applyAlignment="1">
      <alignment horizontal="left" vertical="top" wrapText="1"/>
    </xf>
    <xf numFmtId="18" fontId="6" fillId="0" borderId="4" xfId="0" applyNumberFormat="1" applyFont="1" applyBorder="1" applyAlignment="1">
      <alignment horizontal="left" vertical="top" wrapText="1"/>
    </xf>
    <xf numFmtId="18" fontId="6" fillId="0" borderId="5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164" fontId="2" fillId="0" borderId="2" xfId="0" applyNumberFormat="1" applyFont="1" applyBorder="1" applyAlignment="1">
      <alignment horizontal="center" vertical="top"/>
    </xf>
    <xf numFmtId="164" fontId="2" fillId="0" borderId="3" xfId="0" applyNumberFormat="1" applyFont="1" applyBorder="1" applyAlignment="1">
      <alignment horizontal="center" vertical="top"/>
    </xf>
    <xf numFmtId="18" fontId="6" fillId="0" borderId="8" xfId="0" applyNumberFormat="1" applyFont="1" applyBorder="1" applyAlignment="1">
      <alignment horizontal="left" vertical="top" wrapText="1"/>
    </xf>
    <xf numFmtId="18" fontId="6" fillId="0" borderId="9" xfId="0" applyNumberFormat="1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center" vertical="top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topLeftCell="A20" workbookViewId="0">
      <selection activeCell="F17" sqref="F17"/>
    </sheetView>
  </sheetViews>
  <sheetFormatPr defaultRowHeight="15"/>
  <cols>
    <col min="1" max="1" width="17.7109375" style="4" customWidth="1"/>
    <col min="2" max="2" width="17.7109375" style="7" customWidth="1"/>
    <col min="3" max="3" width="56.28515625" style="4" customWidth="1"/>
    <col min="4" max="4" width="11.42578125" style="4" customWidth="1"/>
    <col min="5" max="5" width="11" style="5" customWidth="1"/>
  </cols>
  <sheetData>
    <row r="1" spans="1:5">
      <c r="A1" s="1" t="s">
        <v>0</v>
      </c>
      <c r="B1" s="2">
        <v>45120</v>
      </c>
      <c r="C1" s="3"/>
    </row>
    <row r="2" spans="1:5">
      <c r="A2" s="1" t="s">
        <v>1</v>
      </c>
      <c r="B2" s="6" t="s">
        <v>2</v>
      </c>
    </row>
    <row r="3" spans="1:5">
      <c r="A3" s="1" t="s">
        <v>3</v>
      </c>
      <c r="B3" s="6" t="s">
        <v>4</v>
      </c>
    </row>
    <row r="4" spans="1:5">
      <c r="A4" s="1" t="s">
        <v>5</v>
      </c>
      <c r="B4" s="6" t="s">
        <v>6</v>
      </c>
    </row>
    <row r="5" spans="1:5">
      <c r="A5" s="1" t="s">
        <v>7</v>
      </c>
      <c r="B5" s="6" t="s">
        <v>8</v>
      </c>
    </row>
    <row r="6" spans="1:5">
      <c r="A6" s="1" t="s">
        <v>9</v>
      </c>
      <c r="B6" s="6" t="s">
        <v>10</v>
      </c>
    </row>
    <row r="7" spans="1:5">
      <c r="A7" s="1" t="s">
        <v>11</v>
      </c>
      <c r="B7" s="6" t="s">
        <v>12</v>
      </c>
    </row>
    <row r="8" spans="1:5">
      <c r="A8" s="1" t="s">
        <v>13</v>
      </c>
      <c r="B8" s="6" t="s">
        <v>14</v>
      </c>
    </row>
    <row r="9" spans="1:5">
      <c r="A9" s="1" t="s">
        <v>15</v>
      </c>
      <c r="B9" s="6" t="s">
        <v>16</v>
      </c>
    </row>
    <row r="10" spans="1:5">
      <c r="A10" s="1" t="s">
        <v>17</v>
      </c>
      <c r="B10" s="6" t="s">
        <v>18</v>
      </c>
    </row>
    <row r="11" spans="1:5">
      <c r="A11" s="1" t="s">
        <v>19</v>
      </c>
      <c r="B11" s="6" t="s">
        <v>20</v>
      </c>
    </row>
    <row r="13" spans="1:5">
      <c r="A13" s="8" t="s">
        <v>21</v>
      </c>
    </row>
    <row r="14" spans="1:5" ht="24">
      <c r="A14" s="9" t="s">
        <v>22</v>
      </c>
      <c r="B14" s="10" t="s">
        <v>23</v>
      </c>
      <c r="C14" s="9" t="s">
        <v>24</v>
      </c>
      <c r="D14" s="11" t="s">
        <v>25</v>
      </c>
      <c r="E14" s="12" t="s">
        <v>26</v>
      </c>
    </row>
    <row r="15" spans="1:5">
      <c r="A15" s="13">
        <v>0.59375</v>
      </c>
      <c r="B15" s="13">
        <v>0.62152777777777779</v>
      </c>
      <c r="C15" s="23" t="s">
        <v>27</v>
      </c>
      <c r="D15" s="15"/>
      <c r="E15" s="16">
        <f>B15-A15</f>
        <v>2.777777777777779E-2</v>
      </c>
    </row>
    <row r="16" spans="1:5">
      <c r="A16" s="37">
        <v>0.62291666666666667</v>
      </c>
      <c r="B16" s="39">
        <v>0.62361111111111112</v>
      </c>
      <c r="C16" s="23" t="s">
        <v>28</v>
      </c>
      <c r="D16" s="41" t="s">
        <v>29</v>
      </c>
      <c r="E16" s="43">
        <f>B16-A16</f>
        <v>6.9444444444444198E-4</v>
      </c>
    </row>
    <row r="17" spans="1:5">
      <c r="A17" s="38"/>
      <c r="B17" s="40"/>
      <c r="C17" s="26" t="s">
        <v>30</v>
      </c>
      <c r="D17" s="42"/>
      <c r="E17" s="44"/>
    </row>
    <row r="18" spans="1:5">
      <c r="A18" s="37">
        <v>0.62361111111111112</v>
      </c>
      <c r="B18" s="39">
        <v>0.62430555555555556</v>
      </c>
      <c r="C18" s="25" t="s">
        <v>31</v>
      </c>
      <c r="D18" s="51" t="s">
        <v>32</v>
      </c>
      <c r="E18" s="43">
        <f t="shared" ref="E18:E53" si="0">B18-A18</f>
        <v>6.9444444444444198E-4</v>
      </c>
    </row>
    <row r="19" spans="1:5" ht="24">
      <c r="A19" s="45"/>
      <c r="B19" s="46"/>
      <c r="C19" s="28" t="s">
        <v>33</v>
      </c>
      <c r="D19" s="52"/>
      <c r="E19" s="50"/>
    </row>
    <row r="20" spans="1:5" ht="108">
      <c r="A20" s="45"/>
      <c r="B20" s="46"/>
      <c r="C20" s="28" t="s">
        <v>34</v>
      </c>
      <c r="D20" s="52"/>
      <c r="E20" s="50"/>
    </row>
    <row r="21" spans="1:5">
      <c r="A21" s="38"/>
      <c r="B21" s="40"/>
      <c r="C21" s="24" t="s">
        <v>35</v>
      </c>
      <c r="D21" s="53"/>
      <c r="E21" s="44"/>
    </row>
    <row r="22" spans="1:5" ht="24">
      <c r="A22" s="13">
        <v>0.62430555555555556</v>
      </c>
      <c r="B22" s="13">
        <v>0.625</v>
      </c>
      <c r="C22" s="27" t="s">
        <v>36</v>
      </c>
      <c r="D22" s="15" t="s">
        <v>37</v>
      </c>
      <c r="E22" s="16">
        <f t="shared" si="0"/>
        <v>6.9444444444444198E-4</v>
      </c>
    </row>
    <row r="23" spans="1:5">
      <c r="A23" s="13">
        <v>0.625</v>
      </c>
      <c r="B23" s="13">
        <v>0.62986111111111109</v>
      </c>
      <c r="C23" s="15" t="s">
        <v>38</v>
      </c>
      <c r="D23" s="15"/>
      <c r="E23" s="16">
        <f t="shared" si="0"/>
        <v>4.8611111111110938E-3</v>
      </c>
    </row>
    <row r="24" spans="1:5">
      <c r="A24" s="13">
        <v>0.62986111111111109</v>
      </c>
      <c r="B24" s="13">
        <v>0.62986111111111109</v>
      </c>
      <c r="C24" s="15" t="s">
        <v>39</v>
      </c>
      <c r="D24" s="15"/>
      <c r="E24" s="16">
        <f t="shared" si="0"/>
        <v>0</v>
      </c>
    </row>
    <row r="25" spans="1:5">
      <c r="A25" s="13">
        <v>0.62986111111111109</v>
      </c>
      <c r="B25" s="13">
        <v>0.63680555555555551</v>
      </c>
      <c r="C25" s="14" t="s">
        <v>38</v>
      </c>
      <c r="D25" s="15"/>
      <c r="E25" s="16">
        <f t="shared" si="0"/>
        <v>6.9444444444444198E-3</v>
      </c>
    </row>
    <row r="26" spans="1:5">
      <c r="A26" s="13">
        <v>0.63680555555555551</v>
      </c>
      <c r="B26" s="13">
        <v>0.63750000000000007</v>
      </c>
      <c r="C26" s="15" t="s">
        <v>40</v>
      </c>
      <c r="D26" s="15"/>
      <c r="E26" s="16">
        <f t="shared" si="0"/>
        <v>6.94444444444553E-4</v>
      </c>
    </row>
    <row r="27" spans="1:5" ht="24">
      <c r="A27" s="13">
        <v>0.63750000000000007</v>
      </c>
      <c r="B27" s="13">
        <v>0.63888888888888895</v>
      </c>
      <c r="C27" s="14" t="s">
        <v>41</v>
      </c>
      <c r="D27" s="15"/>
      <c r="E27" s="16">
        <f t="shared" si="0"/>
        <v>1.388888888888884E-3</v>
      </c>
    </row>
    <row r="28" spans="1:5">
      <c r="A28" s="13">
        <v>0.63888888888888895</v>
      </c>
      <c r="B28" s="13">
        <v>0.64027777777777783</v>
      </c>
      <c r="C28" s="14" t="s">
        <v>38</v>
      </c>
      <c r="D28" s="15"/>
      <c r="E28" s="16">
        <f t="shared" si="0"/>
        <v>1.388888888888884E-3</v>
      </c>
    </row>
    <row r="29" spans="1:5">
      <c r="A29" s="13">
        <v>0.64027777777777783</v>
      </c>
      <c r="B29" s="13">
        <v>0.64166666666666672</v>
      </c>
      <c r="C29" s="25" t="s">
        <v>42</v>
      </c>
      <c r="D29" s="15"/>
      <c r="E29" s="16">
        <f t="shared" si="0"/>
        <v>1.388888888888884E-3</v>
      </c>
    </row>
    <row r="30" spans="1:5">
      <c r="A30" s="37">
        <v>0.64166666666666672</v>
      </c>
      <c r="B30" s="39">
        <v>0.65972222222222221</v>
      </c>
      <c r="C30" s="25" t="s">
        <v>38</v>
      </c>
      <c r="D30" s="47" t="s">
        <v>43</v>
      </c>
      <c r="E30" s="43">
        <f t="shared" si="0"/>
        <v>1.8055555555555491E-2</v>
      </c>
    </row>
    <row r="31" spans="1:5">
      <c r="A31" s="45"/>
      <c r="B31" s="46"/>
      <c r="C31" s="30" t="s">
        <v>44</v>
      </c>
      <c r="D31" s="48"/>
      <c r="E31" s="50"/>
    </row>
    <row r="32" spans="1:5">
      <c r="A32" s="38"/>
      <c r="B32" s="40"/>
      <c r="C32" s="24" t="s">
        <v>45</v>
      </c>
      <c r="D32" s="49"/>
      <c r="E32" s="44"/>
    </row>
    <row r="33" spans="1:5">
      <c r="A33" s="13">
        <v>0.65972222222222221</v>
      </c>
      <c r="B33" s="13">
        <v>0.65972222222222221</v>
      </c>
      <c r="C33" s="30" t="s">
        <v>46</v>
      </c>
      <c r="D33" s="15"/>
      <c r="E33" s="16">
        <f t="shared" si="0"/>
        <v>0</v>
      </c>
    </row>
    <row r="34" spans="1:5">
      <c r="A34" s="37">
        <v>0.65972222222222221</v>
      </c>
      <c r="B34" s="39">
        <v>0.67013888888888884</v>
      </c>
      <c r="C34" s="32" t="s">
        <v>38</v>
      </c>
      <c r="D34" s="41"/>
      <c r="E34" s="43">
        <f t="shared" si="0"/>
        <v>1.041666666666663E-2</v>
      </c>
    </row>
    <row r="35" spans="1:5">
      <c r="A35" s="38"/>
      <c r="B35" s="40"/>
      <c r="C35" s="33" t="s">
        <v>47</v>
      </c>
      <c r="D35" s="42"/>
      <c r="E35" s="44"/>
    </row>
    <row r="36" spans="1:5" ht="24">
      <c r="A36" s="13">
        <v>0.67013888888888884</v>
      </c>
      <c r="B36" s="13">
        <v>0.67222222222222217</v>
      </c>
      <c r="C36" s="31" t="s">
        <v>48</v>
      </c>
      <c r="D36" s="15"/>
      <c r="E36" s="16">
        <f t="shared" si="0"/>
        <v>2.0833333333333259E-3</v>
      </c>
    </row>
    <row r="37" spans="1:5">
      <c r="A37" s="13">
        <v>0.67222222222222217</v>
      </c>
      <c r="B37" s="13">
        <v>0.68194444444444446</v>
      </c>
      <c r="C37" s="29" t="s">
        <v>38</v>
      </c>
      <c r="D37" s="15"/>
      <c r="E37" s="16">
        <f t="shared" si="0"/>
        <v>9.7222222222222987E-3</v>
      </c>
    </row>
    <row r="38" spans="1:5">
      <c r="A38" s="13">
        <v>0.68194444444444446</v>
      </c>
      <c r="B38" s="13">
        <v>0.68194444444444446</v>
      </c>
      <c r="C38" s="32" t="s">
        <v>49</v>
      </c>
      <c r="D38" s="15"/>
      <c r="E38" s="16">
        <f t="shared" si="0"/>
        <v>0</v>
      </c>
    </row>
    <row r="39" spans="1:5">
      <c r="A39" s="37">
        <v>0.68194444444444446</v>
      </c>
      <c r="B39" s="39">
        <v>0.69930555555555562</v>
      </c>
      <c r="C39" s="32" t="s">
        <v>38</v>
      </c>
      <c r="D39" s="47"/>
      <c r="E39" s="43">
        <f t="shared" si="0"/>
        <v>1.736111111111116E-2</v>
      </c>
    </row>
    <row r="40" spans="1:5">
      <c r="A40" s="45"/>
      <c r="B40" s="46"/>
      <c r="C40" s="35" t="s">
        <v>50</v>
      </c>
      <c r="D40" s="48"/>
      <c r="E40" s="50"/>
    </row>
    <row r="41" spans="1:5">
      <c r="A41" s="38"/>
      <c r="B41" s="40"/>
      <c r="C41" s="33" t="s">
        <v>51</v>
      </c>
      <c r="D41" s="49"/>
      <c r="E41" s="44"/>
    </row>
    <row r="42" spans="1:5" ht="24">
      <c r="A42" s="13">
        <v>0.69930555555555562</v>
      </c>
      <c r="B42" s="13">
        <v>0.7006944444444444</v>
      </c>
      <c r="C42" s="36" t="s">
        <v>52</v>
      </c>
      <c r="D42" s="15"/>
      <c r="E42" s="16">
        <f t="shared" si="0"/>
        <v>1.3888888888887729E-3</v>
      </c>
    </row>
    <row r="43" spans="1:5">
      <c r="A43" s="37">
        <v>0.7006944444444444</v>
      </c>
      <c r="B43" s="37">
        <v>0.70833333333333337</v>
      </c>
      <c r="C43" s="32" t="s">
        <v>38</v>
      </c>
      <c r="D43" s="41"/>
      <c r="E43" s="43">
        <f t="shared" si="0"/>
        <v>7.6388888888889728E-3</v>
      </c>
    </row>
    <row r="44" spans="1:5">
      <c r="A44" s="38"/>
      <c r="B44" s="38"/>
      <c r="C44" s="33" t="s">
        <v>53</v>
      </c>
      <c r="D44" s="42"/>
      <c r="E44" s="44"/>
    </row>
    <row r="45" spans="1:5" ht="24">
      <c r="A45" s="13">
        <v>0.70833333333333337</v>
      </c>
      <c r="B45" s="13">
        <v>0.7104166666666667</v>
      </c>
      <c r="C45" s="36" t="s">
        <v>48</v>
      </c>
      <c r="D45" s="15"/>
      <c r="E45" s="16">
        <f t="shared" si="0"/>
        <v>2.0833333333333259E-3</v>
      </c>
    </row>
    <row r="46" spans="1:5">
      <c r="A46" s="37">
        <v>0.7104166666666667</v>
      </c>
      <c r="B46" s="39">
        <v>0.73055555555555562</v>
      </c>
      <c r="C46" s="32" t="s">
        <v>38</v>
      </c>
      <c r="D46" s="47" t="s">
        <v>54</v>
      </c>
      <c r="E46" s="43">
        <f t="shared" si="0"/>
        <v>2.0138888888888928E-2</v>
      </c>
    </row>
    <row r="47" spans="1:5">
      <c r="A47" s="45"/>
      <c r="B47" s="46"/>
      <c r="C47" s="35" t="s">
        <v>55</v>
      </c>
      <c r="D47" s="48"/>
      <c r="E47" s="50"/>
    </row>
    <row r="48" spans="1:5">
      <c r="A48" s="45"/>
      <c r="B48" s="46"/>
      <c r="C48" s="35" t="s">
        <v>56</v>
      </c>
      <c r="D48" s="48"/>
      <c r="E48" s="50"/>
    </row>
    <row r="49" spans="1:5">
      <c r="A49" s="38"/>
      <c r="B49" s="40"/>
      <c r="C49" s="33" t="s">
        <v>57</v>
      </c>
      <c r="D49" s="49"/>
      <c r="E49" s="44"/>
    </row>
    <row r="50" spans="1:5">
      <c r="A50" s="13">
        <v>0.73055555555555562</v>
      </c>
      <c r="B50" s="13">
        <v>0.7319444444444444</v>
      </c>
      <c r="C50" s="35" t="s">
        <v>58</v>
      </c>
      <c r="D50" s="15"/>
      <c r="E50" s="16">
        <f t="shared" si="0"/>
        <v>1.3888888888887729E-3</v>
      </c>
    </row>
    <row r="51" spans="1:5">
      <c r="A51" s="37">
        <v>0.7319444444444444</v>
      </c>
      <c r="B51" s="39">
        <v>0.7402777777777777</v>
      </c>
      <c r="C51" s="32" t="s">
        <v>38</v>
      </c>
      <c r="D51" s="41" t="s">
        <v>59</v>
      </c>
      <c r="E51" s="43">
        <f t="shared" si="0"/>
        <v>8.3333333333333037E-3</v>
      </c>
    </row>
    <row r="52" spans="1:5">
      <c r="A52" s="38"/>
      <c r="B52" s="40"/>
      <c r="C52" s="33" t="s">
        <v>60</v>
      </c>
      <c r="D52" s="42"/>
      <c r="E52" s="44"/>
    </row>
    <row r="53" spans="1:5">
      <c r="A53" s="13">
        <v>0.7402777777777777</v>
      </c>
      <c r="B53" s="13">
        <v>0.7402777777777777</v>
      </c>
      <c r="C53" s="33" t="s">
        <v>61</v>
      </c>
      <c r="D53" s="15"/>
      <c r="E53" s="16">
        <f t="shared" si="0"/>
        <v>0</v>
      </c>
    </row>
    <row r="54" spans="1:5">
      <c r="E54" s="17"/>
    </row>
    <row r="55" spans="1:5">
      <c r="A55" s="8" t="s">
        <v>62</v>
      </c>
    </row>
    <row r="56" spans="1:5">
      <c r="A56" s="18" t="s">
        <v>63</v>
      </c>
      <c r="B56" s="19">
        <v>14676</v>
      </c>
      <c r="C56" s="18" t="s">
        <v>64</v>
      </c>
    </row>
    <row r="57" spans="1:5" ht="24">
      <c r="A57" s="20" t="s">
        <v>65</v>
      </c>
      <c r="B57" s="21">
        <f>SUM(E18:E53)</f>
        <v>0.11666666666666659</v>
      </c>
      <c r="C57" s="18" t="s">
        <v>66</v>
      </c>
      <c r="D57" s="22"/>
    </row>
    <row r="58" spans="1:5">
      <c r="A58" s="18" t="s">
        <v>67</v>
      </c>
      <c r="B58" s="21">
        <f>SUM(E22,E24,E26,E27,E29,E33,E36,E38,E42,E45,E50)</f>
        <v>1.1111111111110961E-2</v>
      </c>
      <c r="C58" s="18" t="s">
        <v>66</v>
      </c>
    </row>
    <row r="59" spans="1:5">
      <c r="A59" s="18" t="s">
        <v>68</v>
      </c>
      <c r="B59" s="19">
        <v>103</v>
      </c>
      <c r="C59" s="18" t="s">
        <v>69</v>
      </c>
    </row>
    <row r="61" spans="1:5">
      <c r="A61" s="8" t="s">
        <v>70</v>
      </c>
    </row>
    <row r="62" spans="1:5">
      <c r="A62" s="9" t="s">
        <v>71</v>
      </c>
      <c r="B62" s="10" t="s">
        <v>72</v>
      </c>
      <c r="C62" s="11" t="s">
        <v>25</v>
      </c>
      <c r="D62" s="3"/>
    </row>
    <row r="63" spans="1:5" s="5" customFormat="1" ht="12">
      <c r="A63" s="15" t="s">
        <v>73</v>
      </c>
      <c r="B63" s="34">
        <v>2</v>
      </c>
      <c r="C63" s="15" t="s">
        <v>74</v>
      </c>
      <c r="D63" s="4"/>
    </row>
    <row r="64" spans="1:5" s="5" customFormat="1" ht="12">
      <c r="A64" s="15" t="s">
        <v>75</v>
      </c>
      <c r="B64" s="34">
        <v>2</v>
      </c>
      <c r="C64" s="15" t="s">
        <v>76</v>
      </c>
      <c r="D64" s="4"/>
    </row>
    <row r="65" spans="1:4" s="5" customFormat="1" ht="12">
      <c r="A65" s="15" t="s">
        <v>77</v>
      </c>
      <c r="B65" s="34">
        <v>1</v>
      </c>
      <c r="C65" s="15" t="s">
        <v>59</v>
      </c>
      <c r="D65" s="4"/>
    </row>
    <row r="66" spans="1:4" s="5" customFormat="1" ht="12">
      <c r="A66" s="4"/>
      <c r="B66" s="7"/>
      <c r="C66" s="4"/>
      <c r="D66" s="4"/>
    </row>
  </sheetData>
  <mergeCells count="32">
    <mergeCell ref="A46:A49"/>
    <mergeCell ref="B46:B49"/>
    <mergeCell ref="D46:D49"/>
    <mergeCell ref="E46:E49"/>
    <mergeCell ref="A51:A52"/>
    <mergeCell ref="B51:B52"/>
    <mergeCell ref="D51:D52"/>
    <mergeCell ref="E51:E52"/>
    <mergeCell ref="A39:A41"/>
    <mergeCell ref="B39:B41"/>
    <mergeCell ref="D39:D41"/>
    <mergeCell ref="E39:E41"/>
    <mergeCell ref="A43:A44"/>
    <mergeCell ref="B43:B44"/>
    <mergeCell ref="D43:D44"/>
    <mergeCell ref="E43:E44"/>
    <mergeCell ref="A34:A35"/>
    <mergeCell ref="B34:B35"/>
    <mergeCell ref="D34:D35"/>
    <mergeCell ref="E34:E35"/>
    <mergeCell ref="A16:A17"/>
    <mergeCell ref="B16:B17"/>
    <mergeCell ref="D16:D17"/>
    <mergeCell ref="E16:E17"/>
    <mergeCell ref="A30:A32"/>
    <mergeCell ref="B30:B32"/>
    <mergeCell ref="D30:D32"/>
    <mergeCell ref="E30:E32"/>
    <mergeCell ref="A18:A21"/>
    <mergeCell ref="B18:B21"/>
    <mergeCell ref="D18:D21"/>
    <mergeCell ref="E18:E21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qa.asst3</dc:creator>
  <cp:keywords/>
  <dc:description/>
  <cp:lastModifiedBy>SWMAL-QAD-Shukri</cp:lastModifiedBy>
  <cp:revision/>
  <dcterms:created xsi:type="dcterms:W3CDTF">2023-07-06T07:22:23Z</dcterms:created>
  <dcterms:modified xsi:type="dcterms:W3CDTF">2023-07-17T03:52:22Z</dcterms:modified>
  <cp:category/>
  <cp:contentStatus/>
</cp:coreProperties>
</file>